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 Dashboard" sheetId="1" state="visible" r:id="rId3"/>
    <sheet name="2. Master Schedule" sheetId="2" state="visible" r:id="rId4"/>
    <sheet name="3. Gantt Chart" sheetId="3" state="visible" r:id="rId5"/>
    <sheet name="4. Responsibility Matrix" sheetId="4" state="visible" r:id="rId6"/>
    <sheet name="5. Action Tracker" sheetId="5" state="visible" r:id="rId7"/>
    <sheet name="6. Risk Register" sheetId="6" state="visible" r:id="rId8"/>
    <sheet name="7. Document Control" sheetId="7" state="visible" r:id="rId9"/>
  </sheets>
  <definedNames>
    <definedName function="false" hidden="false" localSheetId="1" name="_xlnm.Print_Titles" vbProcedure="false">'2. Master Schedule'!$A:$D</definedName>
    <definedName function="false" hidden="true" localSheetId="1" name="_xlnm._FilterDatabase" vbProcedure="false">'2. Master Schedule'!$A$8:$U$63</definedName>
    <definedName function="false" hidden="false" localSheetId="2" name="_xlnm.Print_Titles" vbProcedure="false">'3. Gantt Chart'!$10:$10</definedName>
    <definedName function="false" hidden="false" localSheetId="3" name="_xlnm.Print_Titles" vbProcedure="false">'4. Responsibility Matrix'!$18:$18</definedName>
    <definedName function="false" hidden="false" localSheetId="4" name="_xlnm.Print_Titles" vbProcedure="false">'5. Action Tracker'!$7:$7</definedName>
    <definedName function="false" hidden="false" localSheetId="5" name="_xlnm.Print_Titles" vbProcedure="false">'6. Risk Register'!$7:$7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<sst xmlns="http://schemas.openxmlformats.org/spreadsheetml/2006/main" count="1727" uniqueCount="625">
  <si>
    <t xml:space="preserve">FIRE FIGHTING SYSTEM — NEW DC</t>
  </si>
  <si>
    <t xml:space="preserve">Installation Schedule &amp; Project Responsibility Tracker</t>
  </si>
  <si>
    <t xml:space="preserve">Survey Date: 30-Jun-2026          |          PM: Kharsan Mujeb Al Ajmi          |          [OFFICIAL LOGO — TO BE INSERTED]</t>
  </si>
  <si>
    <t xml:space="preserve">PROPOSED PLANNING BASELINE — Proposed planning dates are preliminary and subject to confirmation by the Project Owner, PM, Contractor and relevant stakeholders. Only items marked CONFIRMED (SURVEY) are supported by the source report.</t>
  </si>
  <si>
    <t xml:space="preserve">EXECUTIVE SUMMARY</t>
  </si>
  <si>
    <t xml:space="preserve">Project</t>
  </si>
  <si>
    <t xml:space="preserve">Fire Fighting System for New DC</t>
  </si>
  <si>
    <t xml:space="preserve">Location / Asset</t>
  </si>
  <si>
    <t xml:space="preserve">Mobile / Trailer-based DC</t>
  </si>
  <si>
    <t xml:space="preserve">Survey Date</t>
  </si>
  <si>
    <t xml:space="preserve">30-Jun-2026</t>
  </si>
  <si>
    <t xml:space="preserve">Project Manager</t>
  </si>
  <si>
    <t xml:space="preserve">Kharsan Mujeb Al Ajmi</t>
  </si>
  <si>
    <t xml:space="preserve">Source Document</t>
  </si>
  <si>
    <t xml:space="preserve">RC Vehicle Survey Report – Fire Fighting System for New DC</t>
  </si>
  <si>
    <t xml:space="preserve">Recommended Systems</t>
  </si>
  <si>
    <t xml:space="preserve">Fire Alarm System  ·  Fire Suppression System</t>
  </si>
  <si>
    <t xml:space="preserve">Current Situation</t>
  </si>
  <si>
    <t xml:space="preserve">Per the RC Vehicle Survey Report dated 30-Jun-2026: installation of Racks and Cabinets has not yet started in the available trailers, and the power source in Trailer-2 is currently unavailable because partition works are still ongoing. The survey recommends providing a Fire Alarm System and a Fire Suppression System. No installation start, duration or completion dates are stated in the source document.</t>
  </si>
  <si>
    <t xml:space="preserve">Overall Status</t>
  </si>
  <si>
    <t xml:space="preserve">PLANNING / SITE READINESS PENDING</t>
  </si>
  <si>
    <t xml:space="preserve">KEY PERFORMANCE INDICATORS  —  calculated live from the Master Schedule</t>
  </si>
  <si>
    <t xml:space="preserve">TOTAL ACTIVITIES</t>
  </si>
  <si>
    <t xml:space="preserve">COMPLETED</t>
  </si>
  <si>
    <t xml:space="preserve">IN PROGRESS</t>
  </si>
  <si>
    <t xml:space="preserve">BLOCKED</t>
  </si>
  <si>
    <t xml:space="preserve">NOT STARTED</t>
  </si>
  <si>
    <t xml:space="preserve">OVERALL COMPLETE</t>
  </si>
  <si>
    <t xml:space="preserve">Across 6 phases</t>
  </si>
  <si>
    <t xml:space="preserve">Confirmed by survey</t>
  </si>
  <si>
    <t xml:space="preserve">Partition works ongoing</t>
  </si>
  <si>
    <t xml:space="preserve">Trailer-2 power</t>
  </si>
  <si>
    <t xml:space="preserve">Awaiting site readiness</t>
  </si>
  <si>
    <t xml:space="preserve">Weighted equally</t>
  </si>
  <si>
    <t xml:space="preserve">CRITICAL CONSTRAINTS  —  confirmed by the survey</t>
  </si>
  <si>
    <t xml:space="preserve">CONSTRAINT 01  ·  RACKS &amp; CABINETS</t>
  </si>
  <si>
    <t xml:space="preserve">CONSTRAINT 02  ·  TRAILER-2 POWER</t>
  </si>
  <si>
    <t xml:space="preserve">Installation of Racks and Cabinets has not yet started in the available trailers.</t>
  </si>
  <si>
    <t xml:space="preserve">The power source in Trailer-2 is currently unavailable because partition works are still ongoing.</t>
  </si>
  <si>
    <t xml:space="preserve">Impact: gates fire alarm and suppression activities that interface with racks and cabinets (4.01, 4.04, 4.07) and therefore the whole installation phase.
Required action: confirm scope, contractor and start date (Action A03).
Responsible: Main Contractor (TBC)      Target resolution: TBD</t>
  </si>
  <si>
    <t xml:space="preserve">Impact: blocks power availability verification (2.02) and power and control connections (4.08); gates functional testing (5.05) and Trailer-2 handover.
Required action: complete partition works, then verify and energise (Actions A01, A02).
Responsible: Civil / Partition Contractor (TBC) → Electrical Contractor (TBC)      Target resolution: TBD</t>
  </si>
  <si>
    <t xml:space="preserve">KEY MILESTONES</t>
  </si>
  <si>
    <t xml:space="preserve">Milestone</t>
  </si>
  <si>
    <t xml:space="preserve">Target Date</t>
  </si>
  <si>
    <t xml:space="preserve">Owner</t>
  </si>
  <si>
    <t xml:space="preserve">Status</t>
  </si>
  <si>
    <t xml:space="preserve">Dependency</t>
  </si>
  <si>
    <t xml:space="preserve">Remarks</t>
  </si>
  <si>
    <t xml:space="preserve">Project Kickoff</t>
  </si>
  <si>
    <t xml:space="preserve">TBD</t>
  </si>
  <si>
    <t xml:space="preserve">TBC</t>
  </si>
  <si>
    <t xml:space="preserve">Not Started</t>
  </si>
  <si>
    <t xml:space="preserve">Stakeholder confirmation</t>
  </si>
  <si>
    <t xml:space="preserve">Baseline agreement and governance sign-off.</t>
  </si>
  <si>
    <t xml:space="preserve">Site Readiness Confirmed</t>
  </si>
  <si>
    <t xml:space="preserve">Partition works + installation area verification</t>
  </si>
  <si>
    <t xml:space="preserve">Gate for all site activities.</t>
  </si>
  <si>
    <t xml:space="preserve">Power Available (Trailer-2)</t>
  </si>
  <si>
    <t xml:space="preserve">Blocked</t>
  </si>
  <si>
    <t xml:space="preserve">Completion of partition works</t>
  </si>
  <si>
    <t xml:space="preserve">CONFIRMED constraint: Trailer-2 power source currently unavailable.</t>
  </si>
  <si>
    <t xml:space="preserve">Racks &amp; Cabinets Ready</t>
  </si>
  <si>
    <t xml:space="preserve">Installation of Racks and Cabinets (2.04)</t>
  </si>
  <si>
    <t xml:space="preserve">CONFIRMED constraint: installation has not yet started.</t>
  </si>
  <si>
    <t xml:space="preserve">Engineering Approved</t>
  </si>
  <si>
    <t xml:space="preserve">Pending Approval</t>
  </si>
  <si>
    <t xml:space="preserve">Shop drawing and material approval (3.05)</t>
  </si>
  <si>
    <t xml:space="preserve">Approving authority to be confirmed.</t>
  </si>
  <si>
    <t xml:space="preserve">Materials Available on Site</t>
  </si>
  <si>
    <t xml:space="preserve">Pending Material</t>
  </si>
  <si>
    <t xml:space="preserve">Procurement and delivery (3.06 / 3.07)</t>
  </si>
  <si>
    <t xml:space="preserve">Lead times unknown until equipment selection is confirmed.</t>
  </si>
  <si>
    <t xml:space="preserve">Installation Start</t>
  </si>
  <si>
    <t xml:space="preserve">M02 + M04 + M06</t>
  </si>
  <si>
    <t xml:space="preserve">Cannot start before all three readiness gates close.</t>
  </si>
  <si>
    <t xml:space="preserve">Installation Complete</t>
  </si>
  <si>
    <t xml:space="preserve">System integration (4.09)</t>
  </si>
  <si>
    <t xml:space="preserve">Includes power and control connections.</t>
  </si>
  <si>
    <t xml:space="preserve">Testing Complete</t>
  </si>
  <si>
    <t xml:space="preserve">Integration testing (5.06)</t>
  </si>
  <si>
    <t xml:space="preserve">Both recommended systems tested.</t>
  </si>
  <si>
    <t xml:space="preserve">Defects Closed</t>
  </si>
  <si>
    <t xml:space="preserve">Rectification and retesting (5.08 / 5.09)</t>
  </si>
  <si>
    <t xml:space="preserve">Zero open critical defects.</t>
  </si>
  <si>
    <t xml:space="preserve">Final Acceptance</t>
  </si>
  <si>
    <t xml:space="preserve">Final acceptance and sign-off (6.07)</t>
  </si>
  <si>
    <t xml:space="preserve">Acceptance criteria to be agreed at kickoff.</t>
  </si>
  <si>
    <t xml:space="preserve">Handover</t>
  </si>
  <si>
    <t xml:space="preserve">System handover to operations (6.08)</t>
  </si>
  <si>
    <t xml:space="preserve">Handover certificate issued.</t>
  </si>
  <si>
    <t xml:space="preserve">Project Closeout</t>
  </si>
  <si>
    <t xml:space="preserve">Project closeout (6.09)</t>
  </si>
  <si>
    <t xml:space="preserve">Overall project completion date TBD.</t>
  </si>
  <si>
    <t xml:space="preserve">MANAGEMENT ATTENTION  —  critical path actions</t>
  </si>
  <si>
    <t xml:space="preserve">Action ID</t>
  </si>
  <si>
    <t xml:space="preserve">Required Action</t>
  </si>
  <si>
    <t xml:space="preserve">Responsible</t>
  </si>
  <si>
    <t xml:space="preserve">Priority</t>
  </si>
  <si>
    <t xml:space="preserve">Escalation / Remarks</t>
  </si>
  <si>
    <t xml:space="preserve">A01</t>
  </si>
  <si>
    <t xml:space="preserve">Complete partition works in Trailer-2</t>
  </si>
  <si>
    <t xml:space="preserve">Civil / Partition Contractor (TBC)</t>
  </si>
  <si>
    <t xml:space="preserve">Critical</t>
  </si>
  <si>
    <t xml:space="preserve">In Progress</t>
  </si>
  <si>
    <t xml:space="preserve">CRITICAL PATH — first link in the Trailer-2 readiness chain.</t>
  </si>
  <si>
    <t xml:space="preserve">A02</t>
  </si>
  <si>
    <t xml:space="preserve">Confirm power availability in Trailer-2 once partitions are complete</t>
  </si>
  <si>
    <t xml:space="preserve">Electrical Contractor (TBC)</t>
  </si>
  <si>
    <t xml:space="preserve">CRITICAL PATH — gates power and control connections and functional testing.</t>
  </si>
  <si>
    <t xml:space="preserve">A03</t>
  </si>
  <si>
    <t xml:space="preserve">Start and complete installation of Racks and Cabinets</t>
  </si>
  <si>
    <t xml:space="preserve">Main Contractor (TBC)</t>
  </si>
  <si>
    <t xml:space="preserve">CRITICAL PATH — gates all rack/cabinet-interfacing fire system works.</t>
  </si>
  <si>
    <t xml:space="preserve">A04</t>
  </si>
  <si>
    <t xml:space="preserve">Confirm overall site readiness and release installation work fronts</t>
  </si>
  <si>
    <t xml:space="preserve">Project Manager — Kharsan Mujeb Al Ajmi</t>
  </si>
  <si>
    <t xml:space="preserve">Sequence: A01 → A02 → A03 → A04 → release Phase 4.</t>
  </si>
  <si>
    <t xml:space="preserve">A05</t>
  </si>
  <si>
    <t xml:space="preserve">Nominate the Project Owner and confirm the governance structure</t>
  </si>
  <si>
    <t xml:space="preserve">High</t>
  </si>
  <si>
    <t xml:space="preserve">Required before any approval-gated activity can complete.</t>
  </si>
  <si>
    <t xml:space="preserve">A06</t>
  </si>
  <si>
    <t xml:space="preserve">Appoint the Main Contractor and Fire System Contractor</t>
  </si>
  <si>
    <t xml:space="preserve">Project Owner (TBC)</t>
  </si>
  <si>
    <t xml:space="preserve">Required to resource Phases 2 to 6.</t>
  </si>
  <si>
    <t xml:space="preserve">STATUS KEY &amp; DOCUMENT LEGEND</t>
  </si>
  <si>
    <t xml:space="preserve">🟢</t>
  </si>
  <si>
    <t xml:space="preserve">Completed / On Track</t>
  </si>
  <si>
    <t xml:space="preserve">🟡</t>
  </si>
  <si>
    <t xml:space="preserve">At Risk / Pending</t>
  </si>
  <si>
    <t xml:space="preserve">🔴</t>
  </si>
  <si>
    <t xml:space="preserve">Blocked / Critical</t>
  </si>
  <si>
    <t xml:space="preserve">⚪</t>
  </si>
  <si>
    <t xml:space="preserve">🔵</t>
  </si>
  <si>
    <t xml:space="preserve">▨</t>
  </si>
  <si>
    <t xml:space="preserve">Shaded cell = editable field for the project team</t>
  </si>
  <si>
    <t xml:space="preserve">CONFIRMED INFORMATION FROM SURVEY is limited to: project and location, survey date 30-Jun-2026, Project Manager Kharsan Mujeb Al Ajmi, the two site constraints above, and the recommendation to provide a Fire Alarm System and a Fire Suppression System. Everything else in this workbook is a PROPOSED PLANNING BASELINE or marked TBC / TBD.</t>
  </si>
  <si>
    <t xml:space="preserve">Confidential — Project Planning Document  ·  Prepared based on the RC Vehicle Survey Report dated 30-Jun-2026  ·  Version 0.1 — Preliminary Planning Baseline  ·  Last updated: TBC</t>
  </si>
  <si>
    <t xml:space="preserve">HOW TO USE  ·  Shaded input cells (Planned Start / Planned Finish / % Complete) and blue text are for the project team to complete.  ·  Duration, Days Remaining and Schedule Flag calculate automatically.  ·  Status is a drop-down list.  ·  Remarks tagged “CONFIRMED (SURVEY)” are supported by the source report; everything else is a proposed planning value or TBC.</t>
  </si>
  <si>
    <t xml:space="preserve">ID</t>
  </si>
  <si>
    <t xml:space="preserve">WBS</t>
  </si>
  <si>
    <t xml:space="preserve">Phase</t>
  </si>
  <si>
    <t xml:space="preserve">Activity</t>
  </si>
  <si>
    <t xml:space="preserve">Trailer /
Location</t>
  </si>
  <si>
    <t xml:space="preserve">Prede-
cessor</t>
  </si>
  <si>
    <t xml:space="preserve">Planned Start
(enter date)</t>
  </si>
  <si>
    <t xml:space="preserve">Planned Finish
(enter date)</t>
  </si>
  <si>
    <t xml:space="preserve">Duration
(days)</t>
  </si>
  <si>
    <t xml:space="preserve">%
Complete</t>
  </si>
  <si>
    <t xml:space="preserve">Responsible
Person</t>
  </si>
  <si>
    <t xml:space="preserve">Role</t>
  </si>
  <si>
    <t xml:space="preserve">Project
Owner</t>
  </si>
  <si>
    <t xml:space="preserve">Contractor</t>
  </si>
  <si>
    <t xml:space="preserve">Risk / Blocker</t>
  </si>
  <si>
    <t xml:space="preserve">Approval
Required</t>
  </si>
  <si>
    <t xml:space="preserve">Days
Remaining
(auto)</t>
  </si>
  <si>
    <t xml:space="preserve">Schedule Flag (auto)</t>
  </si>
  <si>
    <t xml:space="preserve">   Phase 1 — Project Preparation          ·          Proposed baseline: Week 1 – Week 2</t>
  </si>
  <si>
    <t xml:space="preserve">1.01</t>
  </si>
  <si>
    <t xml:space="preserve">Phase 1 — Project Preparation</t>
  </si>
  <si>
    <t xml:space="preserve">Project kickoff meeting and baseline agreement</t>
  </si>
  <si>
    <t xml:space="preserve">All trailers</t>
  </si>
  <si>
    <t xml:space="preserve">—</t>
  </si>
  <si>
    <t xml:space="preserve">Stakeholder availability</t>
  </si>
  <si>
    <t xml:space="preserve">No</t>
  </si>
  <si>
    <t xml:space="preserve">Kickoff to confirm scope, team, baseline dates and reporting cycle.</t>
  </si>
  <si>
    <t xml:space="preserve">1.02</t>
  </si>
  <si>
    <t xml:space="preserve">Site survey execution — RC Vehicle Survey</t>
  </si>
  <si>
    <t xml:space="preserve">Completed</t>
  </si>
  <si>
    <t xml:space="preserve">Survey Team</t>
  </si>
  <si>
    <t xml:space="preserve">CONFIRMED (SURVEY): Survey carried out and reported on 30-Jun-2026. Completed prior to this baseline.</t>
  </si>
  <si>
    <t xml:space="preserve">1.03</t>
  </si>
  <si>
    <t xml:space="preserve">Review of RC Vehicle Survey Report dated 30-Jun-2026</t>
  </si>
  <si>
    <t xml:space="preserve">Ready to Start</t>
  </si>
  <si>
    <t xml:space="preserve">Survey report issued (1.02 complete)</t>
  </si>
  <si>
    <t xml:space="preserve">Source document is available; formal team review not yet recorded.</t>
  </si>
  <si>
    <t xml:space="preserve">1.04</t>
  </si>
  <si>
    <t xml:space="preserve">Scope confirmation — Fire Alarm System and Fire Suppression System</t>
  </si>
  <si>
    <t xml:space="preserve">Survey report review complete</t>
  </si>
  <si>
    <t xml:space="preserve">Yes</t>
  </si>
  <si>
    <t xml:space="preserve">CONFIRMED (SURVEY): Survey recommends providing a Fire Alarm System and a Fire Suppression System.</t>
  </si>
  <si>
    <t xml:space="preserve">1.05</t>
  </si>
  <si>
    <t xml:space="preserve">Confirmation of project stakeholders, owner and governance</t>
  </si>
  <si>
    <t xml:space="preserve">N/A</t>
  </si>
  <si>
    <t xml:space="preserve">Project Owner nomination</t>
  </si>
  <si>
    <t xml:space="preserve">Project Owner not yet identified</t>
  </si>
  <si>
    <t xml:space="preserve">Project Owner, Main Contractor, Fire System Contractor and Client Rep to be named.</t>
  </si>
  <si>
    <t xml:space="preserve">1.06</t>
  </si>
  <si>
    <t xml:space="preserve">Site readiness verification walkdown</t>
  </si>
  <si>
    <t xml:space="preserve">Site Supervisor</t>
  </si>
  <si>
    <t xml:space="preserve">Scope confirmed</t>
  </si>
  <si>
    <t xml:space="preserve">Site not yet ready — see Phase 2</t>
  </si>
  <si>
    <t xml:space="preserve">Joint walkdown to baseline actual readiness against survey findings.</t>
  </si>
  <si>
    <t xml:space="preserve">1.07</t>
  </si>
  <si>
    <t xml:space="preserve">Confirmation of trailer availability</t>
  </si>
  <si>
    <t xml:space="preserve">Walkdown complete</t>
  </si>
  <si>
    <t xml:space="preserve">Number and identity of trailers released for installation to be confirmed.</t>
  </si>
  <si>
    <t xml:space="preserve">1.08</t>
  </si>
  <si>
    <t xml:space="preserve">Confirmation of installation areas within trailers</t>
  </si>
  <si>
    <t xml:space="preserve">Fire &amp; Life Safety Engineer</t>
  </si>
  <si>
    <t xml:space="preserve">Trailer availability confirmed</t>
  </si>
  <si>
    <t xml:space="preserve">Installation areas to be agreed once partitions and rack layout are fixed.</t>
  </si>
  <si>
    <t xml:space="preserve">   Phase 2 — Civil / Site Readiness          ·          Proposed baseline: Week 1 – Week 6</t>
  </si>
  <si>
    <t xml:space="preserve">2.01</t>
  </si>
  <si>
    <t xml:space="preserve">Phase 2 — Civil / Site Readiness</t>
  </si>
  <si>
    <t xml:space="preserve">Trailer-2</t>
  </si>
  <si>
    <t xml:space="preserve">Civil / Partition Contractor</t>
  </si>
  <si>
    <t xml:space="preserve">Civil works front</t>
  </si>
  <si>
    <t xml:space="preserve">Ongoing partition works block power availability</t>
  </si>
  <si>
    <t xml:space="preserve">CONFIRMED (SURVEY): Partition works are still ongoing in Trailer-2. Completion date and % progress TBC.</t>
  </si>
  <si>
    <t xml:space="preserve">2.02</t>
  </si>
  <si>
    <t xml:space="preserve">Power source availability verification and energisation</t>
  </si>
  <si>
    <t xml:space="preserve">Electrical Contractor</t>
  </si>
  <si>
    <t xml:space="preserve">Completion of partition works + Power availability confirmation</t>
  </si>
  <si>
    <t xml:space="preserve">Trailer-2 power source currently unavailable</t>
  </si>
  <si>
    <t xml:space="preserve">CONFIRMED (SURVEY): Power source in Trailer-2 is currently unavailable because partition works are ongoing.</t>
  </si>
  <si>
    <t xml:space="preserve">2.03</t>
  </si>
  <si>
    <t xml:space="preserve">Verification of available installation areas</t>
  </si>
  <si>
    <t xml:space="preserve">Installation areas confirmed</t>
  </si>
  <si>
    <t xml:space="preserve">Physical verification of clear areas for alarm and suppression equipment.</t>
  </si>
  <si>
    <t xml:space="preserve">2.04</t>
  </si>
  <si>
    <t xml:space="preserve">Installation of Racks and Cabinets</t>
  </si>
  <si>
    <t xml:space="preserve">Main Contractor</t>
  </si>
  <si>
    <t xml:space="preserve">Installation areas verified</t>
  </si>
  <si>
    <t xml:space="preserve">Racks and Cabinets installation not yet started</t>
  </si>
  <si>
    <t xml:space="preserve">CONFIRMED (SURVEY): Installation of Racks and Cabinets has not yet started in the available trailers.</t>
  </si>
  <si>
    <t xml:space="preserve">2.05</t>
  </si>
  <si>
    <t xml:space="preserve">Racks and Cabinets readiness confirmation / sign-off</t>
  </si>
  <si>
    <t xml:space="preserve">QA/QC</t>
  </si>
  <si>
    <t xml:space="preserve">Racks and Cabinets installation complete</t>
  </si>
  <si>
    <t xml:space="preserve">Racks and Cabinets not yet started</t>
  </si>
  <si>
    <t xml:space="preserve">Gate for all rack/cabinet-interfacing fire system activities.</t>
  </si>
  <si>
    <t xml:space="preserve">2.06</t>
  </si>
  <si>
    <t xml:space="preserve">Power availability verification — trailers other than Trailer-2</t>
  </si>
  <si>
    <t xml:space="preserve">Survey confirms unavailability for Trailer-2 only; other trailers to be verified</t>
  </si>
  <si>
    <t xml:space="preserve">Source confirms the power constraint for Trailer-2. Status of remaining trailers TBC.</t>
  </si>
  <si>
    <t xml:space="preserve">2.07</t>
  </si>
  <si>
    <t xml:space="preserve">Access, HSE induction and work permit readiness</t>
  </si>
  <si>
    <t xml:space="preserve">HSE</t>
  </si>
  <si>
    <t xml:space="preserve">Kickoff complete</t>
  </si>
  <si>
    <t xml:space="preserve">Permit-to-work regime, hot work and access control to be established.</t>
  </si>
  <si>
    <t xml:space="preserve">   Phase 3 — Engineering &amp; Material Readiness          ·          Proposed baseline: Week 2 – Week 8</t>
  </si>
  <si>
    <t xml:space="preserve">3.01</t>
  </si>
  <si>
    <t xml:space="preserve">Phase 3 — Engineering &amp; Material Readiness</t>
  </si>
  <si>
    <t xml:space="preserve">Fire suppression system design review</t>
  </si>
  <si>
    <t xml:space="preserve">Fire Suppression Engineer</t>
  </si>
  <si>
    <t xml:space="preserve">Design basis, agent type and coverage to be confirmed during engineering/design.</t>
  </si>
  <si>
    <t xml:space="preserve">3.02</t>
  </si>
  <si>
    <t xml:space="preserve">Fire alarm system design review</t>
  </si>
  <si>
    <t xml:space="preserve">Fire Alarm Engineer</t>
  </si>
  <si>
    <t xml:space="preserve">Detection philosophy and panel architecture to be confirmed during engineering/design.</t>
  </si>
  <si>
    <t xml:space="preserve">3.03</t>
  </si>
  <si>
    <t xml:space="preserve">Equipment and material confirmation</t>
  </si>
  <si>
    <t xml:space="preserve">Fire System Specialist</t>
  </si>
  <si>
    <t xml:space="preserve">Design reviews complete</t>
  </si>
  <si>
    <t xml:space="preserve">Equipment types not specified in the survey — to be confirmed during engineering/design.</t>
  </si>
  <si>
    <t xml:space="preserve">3.04</t>
  </si>
  <si>
    <t xml:space="preserve">Shop drawing and technical submittal preparation</t>
  </si>
  <si>
    <t xml:space="preserve">Material list confirmed</t>
  </si>
  <si>
    <t xml:space="preserve">Submittal package covering both recommended systems.</t>
  </si>
  <si>
    <t xml:space="preserve">3.05</t>
  </si>
  <si>
    <t xml:space="preserve">Shop drawing and material approval</t>
  </si>
  <si>
    <t xml:space="preserve">Client Representative</t>
  </si>
  <si>
    <t xml:space="preserve">Submittal issued</t>
  </si>
  <si>
    <t xml:space="preserve">Approval turnaround not yet agreed</t>
  </si>
  <si>
    <t xml:space="preserve">Approving authority and review duration to be confirmed.</t>
  </si>
  <si>
    <t xml:space="preserve">3.06</t>
  </si>
  <si>
    <t xml:space="preserve">Procurement and purchase order release</t>
  </si>
  <si>
    <t xml:space="preserve">Material approval obtained</t>
  </si>
  <si>
    <t xml:space="preserve">Long-lead items may drive the critical path</t>
  </si>
  <si>
    <t xml:space="preserve">3.07</t>
  </si>
  <si>
    <t xml:space="preserve">Manufacturing, delivery to site and material inspection</t>
  </si>
  <si>
    <t xml:space="preserve">Purchase orders placed</t>
  </si>
  <si>
    <t xml:space="preserve">Delivery lead time TBC</t>
  </si>
  <si>
    <t xml:space="preserve">Material availability is a gate for the start of Phase 4.</t>
  </si>
  <si>
    <t xml:space="preserve">   Phase 4 — Installation          ·          Proposed baseline: Week 8 – Week 12</t>
  </si>
  <si>
    <t xml:space="preserve">4.01</t>
  </si>
  <si>
    <t xml:space="preserve">Phase 4 — Installation</t>
  </si>
  <si>
    <t xml:space="preserve">Fire alarm system installation — containment and cabling</t>
  </si>
  <si>
    <t xml:space="preserve">Material on site + Racks and Cabinets ready (2.05)</t>
  </si>
  <si>
    <t xml:space="preserve">First installation front; cannot start before site readiness gates are closed.</t>
  </si>
  <si>
    <t xml:space="preserve">4.02</t>
  </si>
  <si>
    <t xml:space="preserve">Fire detection devices installation</t>
  </si>
  <si>
    <t xml:space="preserve">Containment and cabling complete</t>
  </si>
  <si>
    <t xml:space="preserve">Device types to be confirmed during engineering/design.</t>
  </si>
  <si>
    <t xml:space="preserve">4.03</t>
  </si>
  <si>
    <t xml:space="preserve">Fire alarm control and monitoring equipment installation</t>
  </si>
  <si>
    <t xml:space="preserve">Control/monitoring equipment scope to be confirmed during engineering/design.</t>
  </si>
  <si>
    <t xml:space="preserve">4.04</t>
  </si>
  <si>
    <t xml:space="preserve">Fire suppression system installation — mounting and supports</t>
  </si>
  <si>
    <t xml:space="preserve">Suppression system recommended by the survey; configuration TBC in design.</t>
  </si>
  <si>
    <t xml:space="preserve">4.05</t>
  </si>
  <si>
    <t xml:space="preserve">Suppression equipment installation</t>
  </si>
  <si>
    <t xml:space="preserve">Mounting and supports complete</t>
  </si>
  <si>
    <t xml:space="preserve">Equipment types to be confirmed during engineering/design.</t>
  </si>
  <si>
    <t xml:space="preserve">4.06</t>
  </si>
  <si>
    <t xml:space="preserve">Piping / tubing and associated components installation (where applicable)</t>
  </si>
  <si>
    <t xml:space="preserve">Suppression equipment installed</t>
  </si>
  <si>
    <t xml:space="preserve">Applicability depends on the suppression solution confirmed during design.</t>
  </si>
  <si>
    <t xml:space="preserve">4.07</t>
  </si>
  <si>
    <t xml:space="preserve">Interfaces with racks and cabinets</t>
  </si>
  <si>
    <t xml:space="preserve">Racks and Cabinets ready (2.05)</t>
  </si>
  <si>
    <t xml:space="preserve">Directly gated by the rack/cabinet readiness constraint recorded in the survey.</t>
  </si>
  <si>
    <t xml:space="preserve">4.08</t>
  </si>
  <si>
    <t xml:space="preserve">Power and control connections</t>
  </si>
  <si>
    <t xml:space="preserve">Trailer-2 / All trailers</t>
  </si>
  <si>
    <t xml:space="preserve">Completion of partition works + Power availability confirmation (Trailer-2)</t>
  </si>
  <si>
    <t xml:space="preserve">CONFIRMED (SURVEY): Cannot proceed in Trailer-2 until partition works finish and power is available.</t>
  </si>
  <si>
    <t xml:space="preserve">4.09</t>
  </si>
  <si>
    <t xml:space="preserve">System integration — fire alarm and fire suppression</t>
  </si>
  <si>
    <t xml:space="preserve">Power and control connections complete</t>
  </si>
  <si>
    <t xml:space="preserve">Dependent on Trailer-2 power availability</t>
  </si>
  <si>
    <t xml:space="preserve">Integration scope with DC systems to be confirmed during design.</t>
  </si>
  <si>
    <t xml:space="preserve">   Phase 5 — Testing &amp; Commissioning          ·          Proposed baseline: Week 12 – Week 16</t>
  </si>
  <si>
    <t xml:space="preserve">5.01</t>
  </si>
  <si>
    <t xml:space="preserve">Phase 5 — Testing &amp; Commissioning</t>
  </si>
  <si>
    <t xml:space="preserve">Installation inspection</t>
  </si>
  <si>
    <t xml:space="preserve">Installation complete</t>
  </si>
  <si>
    <t xml:space="preserve">Inspection and test plan to be issued during engineering.</t>
  </si>
  <si>
    <t xml:space="preserve">5.02</t>
  </si>
  <si>
    <t xml:space="preserve">Cable and connection verification</t>
  </si>
  <si>
    <t xml:space="preserve">Testing &amp; Commissioning Lead</t>
  </si>
  <si>
    <t xml:space="preserve">Installation inspection passed</t>
  </si>
  <si>
    <t xml:space="preserve">Continuity, insulation and termination checks.</t>
  </si>
  <si>
    <t xml:space="preserve">5.03</t>
  </si>
  <si>
    <t xml:space="preserve">Fire alarm system testing</t>
  </si>
  <si>
    <t xml:space="preserve">Cable and connection verification complete</t>
  </si>
  <si>
    <t xml:space="preserve">Test procedure to be approved before execution.</t>
  </si>
  <si>
    <t xml:space="preserve">5.04</t>
  </si>
  <si>
    <t xml:space="preserve">Fire suppression system testing</t>
  </si>
  <si>
    <t xml:space="preserve">5.05</t>
  </si>
  <si>
    <t xml:space="preserve">Functional testing</t>
  </si>
  <si>
    <t xml:space="preserve">System testing complete</t>
  </si>
  <si>
    <t xml:space="preserve">Requires stable power supply in all trailers</t>
  </si>
  <si>
    <t xml:space="preserve">Cause-and-effect matrix to be produced during engineering.</t>
  </si>
  <si>
    <t xml:space="preserve">5.06</t>
  </si>
  <si>
    <t xml:space="preserve">Integration testing</t>
  </si>
  <si>
    <t xml:space="preserve">Functional testing complete</t>
  </si>
  <si>
    <t xml:space="preserve">End-to-end verification across both recommended systems.</t>
  </si>
  <si>
    <t xml:space="preserve">5.07</t>
  </si>
  <si>
    <t xml:space="preserve">Defect identification and punch list issue</t>
  </si>
  <si>
    <t xml:space="preserve">Integration testing complete</t>
  </si>
  <si>
    <t xml:space="preserve">Punch list to be logged in the Action Tracker.</t>
  </si>
  <si>
    <t xml:space="preserve">5.08</t>
  </si>
  <si>
    <t xml:space="preserve">Rectification of defects</t>
  </si>
  <si>
    <t xml:space="preserve">Punch list issued</t>
  </si>
  <si>
    <t xml:space="preserve">Rectification duration depends on defect volume — TBC.</t>
  </si>
  <si>
    <t xml:space="preserve">5.09</t>
  </si>
  <si>
    <t xml:space="preserve">Retesting and verification</t>
  </si>
  <si>
    <t xml:space="preserve">Defects rectified</t>
  </si>
  <si>
    <t xml:space="preserve">Retest scope limited to rectified items plus affected functions.</t>
  </si>
  <si>
    <t xml:space="preserve">   Phase 6 — Handover          ·          Proposed baseline: Week 16 – Week 18</t>
  </si>
  <si>
    <t xml:space="preserve">6.01</t>
  </si>
  <si>
    <t xml:space="preserve">Phase 6 — Handover</t>
  </si>
  <si>
    <t xml:space="preserve">Final inspection</t>
  </si>
  <si>
    <t xml:space="preserve">Retesting complete</t>
  </si>
  <si>
    <t xml:space="preserve">Joint inspection with Client Representative.</t>
  </si>
  <si>
    <t xml:space="preserve">6.02</t>
  </si>
  <si>
    <t xml:space="preserve">Punch list closure</t>
  </si>
  <si>
    <t xml:space="preserve">Final inspection complete</t>
  </si>
  <si>
    <t xml:space="preserve">Zero open critical items required for acceptance.</t>
  </si>
  <si>
    <t xml:space="preserve">6.03</t>
  </si>
  <si>
    <t xml:space="preserve">As-built documentation</t>
  </si>
  <si>
    <t xml:space="preserve">Punch list closed</t>
  </si>
  <si>
    <t xml:space="preserve">As-builts to reflect final installed configuration.</t>
  </si>
  <si>
    <t xml:space="preserve">6.04</t>
  </si>
  <si>
    <t xml:space="preserve">Test reports compilation and submission</t>
  </si>
  <si>
    <t xml:space="preserve">Signed test records for both recommended systems.</t>
  </si>
  <si>
    <t xml:space="preserve">6.05</t>
  </si>
  <si>
    <t xml:space="preserve">Operation and Maintenance (O&amp;M) documentation</t>
  </si>
  <si>
    <t xml:space="preserve">As-builts issued</t>
  </si>
  <si>
    <t xml:space="preserve">O&amp;M manuals and spare parts list.</t>
  </si>
  <si>
    <t xml:space="preserve">6.06</t>
  </si>
  <si>
    <t xml:space="preserve">Operator and end-user training</t>
  </si>
  <si>
    <t xml:space="preserve">O&amp;M documentation issued</t>
  </si>
  <si>
    <t xml:space="preserve">Trainee list and duration to be confirmed by the Project Owner.</t>
  </si>
  <si>
    <t xml:space="preserve">6.07</t>
  </si>
  <si>
    <t xml:space="preserve">Final acceptance and client sign-off</t>
  </si>
  <si>
    <t xml:space="preserve">Training complete + documentation accepted</t>
  </si>
  <si>
    <t xml:space="preserve">6.08</t>
  </si>
  <si>
    <t xml:space="preserve">System handover to operations</t>
  </si>
  <si>
    <t xml:space="preserve">Project Owner</t>
  </si>
  <si>
    <t xml:space="preserve">Final acceptance obtained</t>
  </si>
  <si>
    <t xml:space="preserve">Handover certificate and key/asset transfer.</t>
  </si>
  <si>
    <t xml:space="preserve">6.09</t>
  </si>
  <si>
    <t xml:space="preserve">Project closeout</t>
  </si>
  <si>
    <t xml:space="preserve">Handover complete</t>
  </si>
  <si>
    <t xml:space="preserve">Final account, lessons learned and document archive.</t>
  </si>
  <si>
    <t xml:space="preserve">CRITICAL DEPENDENCIES &amp; CONSTRAINTS  —  confirmed by the RC Vehicle Survey Report</t>
  </si>
  <si>
    <t xml:space="preserve">Ref</t>
  </si>
  <si>
    <t xml:space="preserve">Confirmed Constraint</t>
  </si>
  <si>
    <t xml:space="preserve">Reason</t>
  </si>
  <si>
    <t xml:space="preserve">Responsible Party</t>
  </si>
  <si>
    <t xml:space="preserve">Target Resolution</t>
  </si>
  <si>
    <t xml:space="preserve">Impact on Schedule</t>
  </si>
  <si>
    <t xml:space="preserve">Classification</t>
  </si>
  <si>
    <t xml:space="preserve">CD-01</t>
  </si>
  <si>
    <t xml:space="preserve">Trailer-2 power source is currently unavailable.</t>
  </si>
  <si>
    <t xml:space="preserve">Partition works are still ongoing.</t>
  </si>
  <si>
    <t xml:space="preserve">Completion of partition works + power availability confirmation.</t>
  </si>
  <si>
    <t xml:space="preserve">Complete partition works in Trailer-2, then verify and energise the power source.</t>
  </si>
  <si>
    <t xml:space="preserve">Civil / Partition Contractor (TBC) → Electrical Contractor (TBC)</t>
  </si>
  <si>
    <t xml:space="preserve">Blocks activity 2.02 and 4.08, and gates functional testing (5.05) and Trailer-2 handover.</t>
  </si>
  <si>
    <t xml:space="preserve">CONFIRMED CONSTRAINT (SURVEY)</t>
  </si>
  <si>
    <t xml:space="preserve">CD-02</t>
  </si>
  <si>
    <t xml:space="preserve">Rack and cabinet works not yet commenced.</t>
  </si>
  <si>
    <t xml:space="preserve">Completion and readiness sign-off of racks and cabinets (2.04 → 2.05).</t>
  </si>
  <si>
    <t xml:space="preserve">Confirm scope, contractor and start date for racks and cabinets installation.</t>
  </si>
  <si>
    <t xml:space="preserve">Gates activities 4.01, 4.04 and 4.07, and therefore the entire installation phase.</t>
  </si>
  <si>
    <t xml:space="preserve">Both constraints above are stated in the source survey report. Target resolution dates are TBD until confirmed by the Project Owner and the responsible contractors.</t>
  </si>
  <si>
    <t xml:space="preserve">PROPOSED BASELINE — DATES TO BE CONFIRMED.  The timeline below is relative (Week 1 = project kickoff). It is NOT a calendar schedule. Proposed planning dates are preliminary and subject to confirmation by the Project Owner, PM, Contractor and relevant stakeholders.</t>
  </si>
  <si>
    <t xml:space="preserve">LEGEND</t>
  </si>
  <si>
    <t xml:space="preserve">Preparation</t>
  </si>
  <si>
    <t xml:space="preserve">Site Readiness</t>
  </si>
  <si>
    <t xml:space="preserve">Engineering</t>
  </si>
  <si>
    <t xml:space="preserve">Installation</t>
  </si>
  <si>
    <t xml:space="preserve">Testing &amp; Commissioning</t>
  </si>
  <si>
    <t xml:space="preserve">Critical activity</t>
  </si>
  <si>
    <t xml:space="preserve">Trailer-2 power dependency</t>
  </si>
  <si>
    <t xml:space="preserve">Critical /
Dependency</t>
  </si>
  <si>
    <t xml:space="preserve">Baseline
Wk Start</t>
  </si>
  <si>
    <t xml:space="preserve">Baseline
Wk Finish</t>
  </si>
  <si>
    <t xml:space="preserve">   Phase 1 — Project Preparation</t>
  </si>
  <si>
    <t xml:space="preserve">PHASE ENVELOPE</t>
  </si>
  <si>
    <t xml:space="preserve">   Phase 2 — Civil / Site Readiness</t>
  </si>
  <si>
    <t xml:space="preserve">CRITICAL</t>
  </si>
  <si>
    <t xml:space="preserve">T2 POWER</t>
  </si>
  <si>
    <t xml:space="preserve">   Phase 3 — Engineering &amp; Material Readiness</t>
  </si>
  <si>
    <t xml:space="preserve">   Phase 4 — Installation</t>
  </si>
  <si>
    <t xml:space="preserve">   Phase 5 — Testing &amp; Commissioning</t>
  </si>
  <si>
    <t xml:space="preserve">Testing</t>
  </si>
  <si>
    <t xml:space="preserve">   Phase 6 — Handover</t>
  </si>
  <si>
    <t xml:space="preserve">   PLANNED PROJECT COMPLETION — HANDOVER &amp; CLOSEOUT (proposed)</t>
  </si>
  <si>
    <t xml:space="preserve">◆</t>
  </si>
  <si>
    <t xml:space="preserve">Dependencies are shown by the Predecessor column; each activity may only start once its predecessor is complete. Activities marked CRITICAL sit on the critical path. Activities marked T2 POWER cannot proceed until partition works in Trailer-2 are complete and the power source is confirmed available.</t>
  </si>
  <si>
    <t xml:space="preserve">The only person identified in the source survey report is Kharsan Mujeb Al Ajmi (Project Manager). All other names are marked TBC — To Be Confirmed. Names and contact details are editable fields for the project team to complete; no names have been assumed.</t>
  </si>
  <si>
    <t xml:space="preserve">PROJECT GOVERNANCE  —  editable</t>
  </si>
  <si>
    <t xml:space="preserve">Enter the confirmed name here once appointed.</t>
  </si>
  <si>
    <t xml:space="preserve">Confirmed by the source survey report.</t>
  </si>
  <si>
    <t xml:space="preserve">Fire System Contractor</t>
  </si>
  <si>
    <t xml:space="preserve">PROJECT RESPONSIBILITY MATRIX</t>
  </si>
  <si>
    <t xml:space="preserve">Responsibility Area</t>
  </si>
  <si>
    <t xml:space="preserve">Name</t>
  </si>
  <si>
    <t xml:space="preserve">Organization / Contractor</t>
  </si>
  <si>
    <t xml:space="preserve">Responsibility</t>
  </si>
  <si>
    <t xml:space="preserve">Contact</t>
  </si>
  <si>
    <t xml:space="preserve">Project Ownership</t>
  </si>
  <si>
    <t xml:space="preserve">Overall accountability, funding, acceptance and handover authority.</t>
  </si>
  <si>
    <t xml:space="preserve">Project Management</t>
  </si>
  <si>
    <t xml:space="preserve">Day-to-day management, schedule, reporting and stakeholder coordination.</t>
  </si>
  <si>
    <t xml:space="preserve">Fire &amp; Life Safety</t>
  </si>
  <si>
    <t xml:space="preserve">Design compliance, integration and life-safety assurance.</t>
  </si>
  <si>
    <t xml:space="preserve">Fire Alarm Engineering</t>
  </si>
  <si>
    <t xml:space="preserve">Fire alarm design review, installation supervision and testing.</t>
  </si>
  <si>
    <t xml:space="preserve">Fire Suppression Engineering</t>
  </si>
  <si>
    <t xml:space="preserve">Fire suppression design review, installation supervision and testing.</t>
  </si>
  <si>
    <t xml:space="preserve">Site Supervision</t>
  </si>
  <si>
    <t xml:space="preserve">Daily site control, work fronts, coordination between trades.</t>
  </si>
  <si>
    <t xml:space="preserve">Main Works</t>
  </si>
  <si>
    <t xml:space="preserve">Overall construction delivery including racks and cabinets installation.</t>
  </si>
  <si>
    <t xml:space="preserve">Fire System Delivery</t>
  </si>
  <si>
    <t xml:space="preserve">Supply and installation of the recommended fire alarm and suppression systems.</t>
  </si>
  <si>
    <t xml:space="preserve">Electrical Works</t>
  </si>
  <si>
    <t xml:space="preserve">Power supply, energisation and power/control connections.</t>
  </si>
  <si>
    <t xml:space="preserve">Civil / Partition Works</t>
  </si>
  <si>
    <t xml:space="preserve">Partition works in Trailer-2 — currently ongoing per survey.</t>
  </si>
  <si>
    <t xml:space="preserve">Quality Assurance</t>
  </si>
  <si>
    <t xml:space="preserve">Inspection, ITP execution, punch list management and sign-off.</t>
  </si>
  <si>
    <t xml:space="preserve">Health, Safety &amp; Environment</t>
  </si>
  <si>
    <t xml:space="preserve">Permits, inductions, risk assessments and site safety compliance.</t>
  </si>
  <si>
    <t xml:space="preserve">Test procedures, functional and integration testing, test records.</t>
  </si>
  <si>
    <t xml:space="preserve">Client Interface</t>
  </si>
  <si>
    <t xml:space="preserve">Approvals, witnessing, final acceptance and handover receipt.</t>
  </si>
  <si>
    <t xml:space="preserve">TBC — To Be Confirmed.  Shaded cells are editable fields for the project team.</t>
  </si>
  <si>
    <t xml:space="preserve">MANAGEMENT ACTION TRACKER — actions ordered by their ability to delay installation. Critical path sequence: complete partition works in Trailer-2 → confirm power availability → complete racks and cabinets → confirm site readiness → release installation activities. Due dates are TBD until the baseline is confirmed.</t>
  </si>
  <si>
    <t xml:space="preserve">Due Date</t>
  </si>
  <si>
    <t xml:space="preserve">Escalation
Required</t>
  </si>
  <si>
    <t xml:space="preserve">Survey confirms partition works are still ongoing, which is blocking the power source.</t>
  </si>
  <si>
    <t xml:space="preserve">Survey confirms the Trailer-2 power source is currently unavailable.</t>
  </si>
  <si>
    <t xml:space="preserve">Survey confirms rack and cabinet installation has not yet started in the available trailers.</t>
  </si>
  <si>
    <t xml:space="preserve">Installation cannot be released until partitions, power and racks/cabinets are confirmed ready.</t>
  </si>
  <si>
    <t xml:space="preserve">No project owner is identified in the source document; approvals cannot be routed.</t>
  </si>
  <si>
    <t xml:space="preserve">No contractor is named in the source document.</t>
  </si>
  <si>
    <t xml:space="preserve">A07</t>
  </si>
  <si>
    <t xml:space="preserve">Confirm fire alarm and fire suppression design basis and equipment selection</t>
  </si>
  <si>
    <t xml:space="preserve">The survey recommends both systems but does not specify equipment types.</t>
  </si>
  <si>
    <t xml:space="preserve">Fire &amp; Life Safety Engineer (TBC)</t>
  </si>
  <si>
    <t xml:space="preserve">A08</t>
  </si>
  <si>
    <t xml:space="preserve">Establish and approve the project baseline dates</t>
  </si>
  <si>
    <t xml:space="preserve">The source document provides no start, duration or completion dates.</t>
  </si>
  <si>
    <t xml:space="preserve">Converts the proposed relative baseline into confirmed calendar dates.</t>
  </si>
  <si>
    <t xml:space="preserve">A09</t>
  </si>
  <si>
    <t xml:space="preserve">Confirm procurement lead times for the approved materials</t>
  </si>
  <si>
    <t xml:space="preserve">Long-lead items may govern the installation start date.</t>
  </si>
  <si>
    <t xml:space="preserve">Medium</t>
  </si>
  <si>
    <t xml:space="preserve">Feeds milestone M06 — Materials Available on Site.</t>
  </si>
  <si>
    <t xml:space="preserve">A10</t>
  </si>
  <si>
    <t xml:space="preserve">Confirm the power availability status of all trailers other than Trailer-2</t>
  </si>
  <si>
    <t xml:space="preserve">The survey confirms the constraint for Trailer-2 only; other trailers are not addressed.</t>
  </si>
  <si>
    <t xml:space="preserve">Closes an open information gap in the source document.</t>
  </si>
  <si>
    <t xml:space="preserve">A11</t>
  </si>
  <si>
    <t xml:space="preserve">Establish the permit-to-work and HSE regime for trailer works</t>
  </si>
  <si>
    <t xml:space="preserve">Work cannot commence without access and permit readiness.</t>
  </si>
  <si>
    <t xml:space="preserve">HSE (TBC)</t>
  </si>
  <si>
    <t xml:space="preserve">Prerequisite for all site work fronts.</t>
  </si>
  <si>
    <t xml:space="preserve">A12</t>
  </si>
  <si>
    <t xml:space="preserve">Agree the approval authority and review turnaround for submittals</t>
  </si>
  <si>
    <t xml:space="preserve">Approval route is undefined, which puts the engineering gate at risk.</t>
  </si>
  <si>
    <t xml:space="preserve">Client Representative (TBC)</t>
  </si>
  <si>
    <t xml:space="preserve">Feeds milestone M05 — Engineering Approved.</t>
  </si>
  <si>
    <t xml:space="preserve">Actions A01–A04 form the critical path to releasing installation. Shaded Due Date cells are editable.</t>
  </si>
  <si>
    <t xml:space="preserve">Risks R01 and R02 are the constraints explicitly recorded in the source survey report. All remaining entries are standard project-planning risks and are labelled “Planning Risk — To Be Validated”. Probability, Severity and Status are drop-down lists; the Risk Rating column calculates automatically.</t>
  </si>
  <si>
    <t xml:space="preserve">Risk ID</t>
  </si>
  <si>
    <t xml:space="preserve">Risk</t>
  </si>
  <si>
    <t xml:space="preserve">Cause</t>
  </si>
  <si>
    <t xml:space="preserve">Impact</t>
  </si>
  <si>
    <t xml:space="preserve">Probability</t>
  </si>
  <si>
    <t xml:space="preserve">Severity</t>
  </si>
  <si>
    <t xml:space="preserve">Mitigation</t>
  </si>
  <si>
    <t xml:space="preserve">Risk Rating
(auto)</t>
  </si>
  <si>
    <t xml:space="preserve">R01</t>
  </si>
  <si>
    <t xml:space="preserve">Trailer-2 power source remains unavailable</t>
  </si>
  <si>
    <t xml:space="preserve">Partition works in Trailer-2 are still ongoing (confirmed by survey).</t>
  </si>
  <si>
    <t xml:space="preserve">Power and control connections, functional testing and Trailer-2 handover cannot proceed.</t>
  </si>
  <si>
    <t xml:space="preserve">Expedite partition works; agree a firm completion date; confirm energisation plan; consider a temporary certified supply if approved.</t>
  </si>
  <si>
    <t xml:space="preserve">Open</t>
  </si>
  <si>
    <t xml:space="preserve">Source-confirmed constraint</t>
  </si>
  <si>
    <t xml:space="preserve">R02</t>
  </si>
  <si>
    <t xml:space="preserve">Racks and Cabinets installation has not started</t>
  </si>
  <si>
    <t xml:space="preserve">Rack and cabinet works not yet commenced in the available trailers (confirmed by survey).</t>
  </si>
  <si>
    <t xml:space="preserve">All rack/cabinet-interfacing fire alarm and suppression activities are gated; installation start slips.</t>
  </si>
  <si>
    <t xml:space="preserve">Confirm rack/cabinet scope, contractor and start date; sequence rack installation ahead of fire system works.</t>
  </si>
  <si>
    <t xml:space="preserve">R03</t>
  </si>
  <si>
    <t xml:space="preserve">No confirmed project baseline dates</t>
  </si>
  <si>
    <t xml:space="preserve">Progress cannot be measured; delay cannot be evidenced; no contractual float visibility.</t>
  </si>
  <si>
    <t xml:space="preserve">Convert the proposed relative baseline into calendar dates at kickoff and freeze as Version 1.0.</t>
  </si>
  <si>
    <t xml:space="preserve">Planning Risk — To Be Validated</t>
  </si>
  <si>
    <t xml:space="preserve">R04</t>
  </si>
  <si>
    <t xml:space="preserve">Project Owner and contractors not yet appointed</t>
  </si>
  <si>
    <t xml:space="preserve">No owner or contractor is identified in the source document.</t>
  </si>
  <si>
    <t xml:space="preserve">Approvals stall; no accountable party for the critical path actions.</t>
  </si>
  <si>
    <t xml:space="preserve">Nominate the Project Owner and award the main and fire system packages before Phase 3 approvals.</t>
  </si>
  <si>
    <t xml:space="preserve">R05</t>
  </si>
  <si>
    <t xml:space="preserve">Equipment selection not yet defined</t>
  </si>
  <si>
    <t xml:space="preserve">The survey recommends the systems but does not specify equipment types.</t>
  </si>
  <si>
    <t xml:space="preserve">Procurement cannot start; lead times remain unknown; installation start date unreliable.</t>
  </si>
  <si>
    <t xml:space="preserve">Complete design reviews and freeze the material schedule before releasing purchase orders.</t>
  </si>
  <si>
    <t xml:space="preserve">R06</t>
  </si>
  <si>
    <t xml:space="preserve">Long procurement lead times govern the critical path</t>
  </si>
  <si>
    <t xml:space="preserve">Fire suppression equipment can carry extended manufacturing lead times.</t>
  </si>
  <si>
    <t xml:space="preserve">Installation start is deferred; overall completion date slips.</t>
  </si>
  <si>
    <t xml:space="preserve">Obtain lead-time confirmation at quotation stage; pre-order long-lead items after approval.</t>
  </si>
  <si>
    <t xml:space="preserve">R07</t>
  </si>
  <si>
    <t xml:space="preserve">Approval turnaround for submittals is undefined</t>
  </si>
  <si>
    <t xml:space="preserve">No approval authority or review duration has been agreed.</t>
  </si>
  <si>
    <t xml:space="preserve">Engineering gate slips and delays procurement release.</t>
  </si>
  <si>
    <t xml:space="preserve">Agree the approval matrix and a maximum review turnaround at kickoff.</t>
  </si>
  <si>
    <t xml:space="preserve">R08</t>
  </si>
  <si>
    <t xml:space="preserve">Trade congestion inside the trailers</t>
  </si>
  <si>
    <t xml:space="preserve">Civil, electrical, rack and fire system trades share a confined trailer envelope.</t>
  </si>
  <si>
    <t xml:space="preserve">Work front conflicts, rework and reduced productivity.</t>
  </si>
  <si>
    <t xml:space="preserve">Produce a sequenced work-front plan and a shared trailer access schedule.</t>
  </si>
  <si>
    <t xml:space="preserve">Site Supervisor (TBC)</t>
  </si>
  <si>
    <t xml:space="preserve">R09</t>
  </si>
  <si>
    <t xml:space="preserve">Power availability of remaining trailers unverified</t>
  </si>
  <si>
    <t xml:space="preserve">The survey addresses the Trailer-2 power constraint only.</t>
  </si>
  <si>
    <t xml:space="preserve">A further power constraint may emerge late and block additional work fronts.</t>
  </si>
  <si>
    <t xml:space="preserve">Verify and record the power status of every trailer before releasing installation.</t>
  </si>
  <si>
    <t xml:space="preserve">R10</t>
  </si>
  <si>
    <t xml:space="preserve">Interface between fire systems and DC racks not yet defined</t>
  </si>
  <si>
    <t xml:space="preserve">Rack layout and installation areas are not yet fixed.</t>
  </si>
  <si>
    <t xml:space="preserve">Detection coverage and suppression arrangement may require redesign after rack installation.</t>
  </si>
  <si>
    <t xml:space="preserve">Freeze the rack layout before finalising detection and suppression shop drawings.</t>
  </si>
  <si>
    <t xml:space="preserve">Risk Rating is derived from Probability × Severity: High/High = CRITICAL; High/Medium = HIGH; Low/Low = LOW; all other combinations = MEDIUM.</t>
  </si>
  <si>
    <t xml:space="preserve">DOCUMENT CONTROL</t>
  </si>
  <si>
    <t xml:space="preserve">Document Title</t>
  </si>
  <si>
    <t xml:space="preserve">Fire Fighting System Installation Schedule</t>
  </si>
  <si>
    <t xml:space="preserve">New DC</t>
  </si>
  <si>
    <t xml:space="preserve">Asset / Location</t>
  </si>
  <si>
    <t xml:space="preserve">Version</t>
  </si>
  <si>
    <t xml:space="preserve">0.1</t>
  </si>
  <si>
    <t xml:space="preserve">Preliminary — Planning Baseline</t>
  </si>
  <si>
    <t xml:space="preserve">Prepared By</t>
  </si>
  <si>
    <t xml:space="preserve">Reviewed By</t>
  </si>
  <si>
    <t xml:space="preserve">Approved By</t>
  </si>
  <si>
    <t xml:space="preserve">Last Updated</t>
  </si>
  <si>
    <t xml:space="preserve">REVISION HISTORY</t>
  </si>
  <si>
    <t xml:space="preserve">Description of Change</t>
  </si>
  <si>
    <t xml:space="preserve">Date</t>
  </si>
  <si>
    <t xml:space="preserve">Initial preliminary planning baseline prepared from the RC Vehicle Survey Report dated 30-Jun-2026. All dates proposed and subject to confirmation.</t>
  </si>
  <si>
    <t xml:space="preserve">SOURCE TRACEABILITY  —  what is confirmed and what is proposed</t>
  </si>
  <si>
    <t xml:space="preserve">Item</t>
  </si>
  <si>
    <t xml:space="preserve">Value / Statement</t>
  </si>
  <si>
    <t xml:space="preserve">Source</t>
  </si>
  <si>
    <t xml:space="preserve">Sheet Reference</t>
  </si>
  <si>
    <t xml:space="preserve">Note</t>
  </si>
  <si>
    <t xml:space="preserve">CONFIRMED</t>
  </si>
  <si>
    <t xml:space="preserve">All sheets</t>
  </si>
  <si>
    <t xml:space="preserve">Stated in the survey report.</t>
  </si>
  <si>
    <t xml:space="preserve">The only person named in the source.</t>
  </si>
  <si>
    <t xml:space="preserve">Site condition</t>
  </si>
  <si>
    <t xml:space="preserve">2. Master Schedule (2.04) / CD-02</t>
  </si>
  <si>
    <t xml:space="preserve">Drives the rack and cabinet readiness dependency.</t>
  </si>
  <si>
    <t xml:space="preserve">2. Master Schedule (2.02) / CD-01</t>
  </si>
  <si>
    <t xml:space="preserve">Drives the Trailer-2 power dependency.</t>
  </si>
  <si>
    <t xml:space="preserve">Recommended system</t>
  </si>
  <si>
    <t xml:space="preserve">Fire Alarm System</t>
  </si>
  <si>
    <t xml:space="preserve">2. Master Schedule (Phase 3–5)</t>
  </si>
  <si>
    <t xml:space="preserve">Recommended by the survey.</t>
  </si>
  <si>
    <t xml:space="preserve">Fire Suppression System</t>
  </si>
  <si>
    <t xml:space="preserve">Start / finish dates</t>
  </si>
  <si>
    <t xml:space="preserve">Not stated in the source</t>
  </si>
  <si>
    <t xml:space="preserve">PROPOSED / TBD</t>
  </si>
  <si>
    <t xml:space="preserve">Not available</t>
  </si>
  <si>
    <t xml:space="preserve">Relative Week 1–18 baseline only; calendar dates TBD.</t>
  </si>
  <si>
    <t xml:space="preserve">Overall duration</t>
  </si>
  <si>
    <t xml:space="preserve">3. Gantt Chart</t>
  </si>
  <si>
    <t xml:space="preserve">18-week proposed baseline, subject to confirmation.</t>
  </si>
  <si>
    <t xml:space="preserve">Project Owner / contractors</t>
  </si>
  <si>
    <t xml:space="preserve">4. Responsibility Matrix</t>
  </si>
  <si>
    <t xml:space="preserve">No names assumed.</t>
  </si>
  <si>
    <t xml:space="preserve">Equipment types</t>
  </si>
  <si>
    <t xml:space="preserve">2. Master Schedule (Phase 3–4)</t>
  </si>
  <si>
    <t xml:space="preserve">To be confirmed during engineering/design.</t>
  </si>
  <si>
    <t xml:space="preserve">Confidential — Project Planning Document.  Prepared based on the RC Vehicle Survey Report dated 30-Jun-2026.  Version 0.1 — Preliminary Planning Baseline.  Last updated: TBC.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</si>
</sst>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dd\-mmm\-yyyy"/>
    <numFmt numFmtId="168" formatCode="0%"/>
    <numFmt numFmtId="169" formatCode="General"/>
    <numFmt numFmtId="170" formatCode="\W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.5"/>
      <color rgb="FFE6D9F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9"/>
      <color rgb="FF2D0054"/>
      <name val="Arial"/>
      <family val="0"/>
      <charset val="1"/>
    </font>
    <font>
      <b val="true"/>
      <sz val="11.5"/>
      <color rgb="FF4F008C"/>
      <name val="Arial"/>
      <family val="0"/>
      <charset val="1"/>
    </font>
    <font>
      <b val="true"/>
      <sz val="9"/>
      <color rgb="FF2D0054"/>
      <name val="Arial"/>
      <family val="0"/>
      <charset val="1"/>
    </font>
    <font>
      <b val="true"/>
      <sz val="9"/>
      <color rgb="FF1D252D"/>
      <name val="Arial"/>
      <family val="0"/>
      <charset val="1"/>
    </font>
    <font>
      <sz val="9"/>
      <color rgb="FF1D252D"/>
      <name val="Arial"/>
      <family val="0"/>
      <charset val="1"/>
    </font>
    <font>
      <b val="true"/>
      <sz val="12"/>
      <color rgb="FFFF375E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20"/>
      <color rgb="FF4F008C"/>
      <name val="Arial"/>
      <family val="0"/>
      <charset val="1"/>
    </font>
    <font>
      <b val="true"/>
      <sz val="20"/>
      <color rgb="FF059669"/>
      <name val="Arial"/>
      <family val="0"/>
      <charset val="1"/>
    </font>
    <font>
      <b val="true"/>
      <sz val="20"/>
      <color rgb="FF1D4ED8"/>
      <name val="Arial"/>
      <family val="0"/>
      <charset val="1"/>
    </font>
    <font>
      <b val="true"/>
      <sz val="20"/>
      <color rgb="FFFF375E"/>
      <name val="Arial"/>
      <family val="0"/>
      <charset val="1"/>
    </font>
    <font>
      <b val="true"/>
      <sz val="20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375E"/>
      <name val="Arial"/>
      <family val="0"/>
      <charset val="1"/>
    </font>
    <font>
      <sz val="11"/>
      <color rgb="FF059669"/>
      <name val="Arial"/>
      <family val="0"/>
      <charset val="1"/>
    </font>
    <font>
      <sz val="11"/>
      <color rgb="FFD97706"/>
      <name val="Arial"/>
      <family val="0"/>
      <charset val="1"/>
    </font>
    <font>
      <sz val="11"/>
      <color rgb="FFFF375E"/>
      <name val="Arial"/>
      <family val="0"/>
      <charset val="1"/>
    </font>
    <font>
      <sz val="11"/>
      <color rgb="FF6B7280"/>
      <name val="Arial"/>
      <family val="0"/>
      <charset val="1"/>
    </font>
    <font>
      <sz val="11"/>
      <color rgb="FF1D4ED8"/>
      <name val="Arial"/>
      <family val="0"/>
      <charset val="1"/>
    </font>
    <font>
      <sz val="11"/>
      <color rgb="FF2D0054"/>
      <name val="Arial"/>
      <family val="0"/>
      <charset val="1"/>
    </font>
    <font>
      <i val="true"/>
      <sz val="8.5"/>
      <color rgb="FF6B7280"/>
      <name val="Arial"/>
      <family val="0"/>
      <charset val="1"/>
    </font>
    <font>
      <b val="true"/>
      <sz val="8.5"/>
      <color rgb="FF2D0054"/>
      <name val="Arial"/>
      <family val="0"/>
      <charset val="1"/>
    </font>
    <font>
      <b val="true"/>
      <sz val="9.5"/>
      <color rgb="FF2D005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.5"/>
      <color rgb="FF4F008C"/>
      <name val="Arial"/>
      <family val="0"/>
      <charset val="1"/>
    </font>
    <font>
      <b val="true"/>
      <sz val="8.5"/>
      <color rgb="FFFF37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375E"/>
      <name val="Arial"/>
      <family val="0"/>
      <charset val="1"/>
    </font>
    <font>
      <b val="true"/>
      <sz val="8.5"/>
      <color rgb="FF059669"/>
      <name val="Arial"/>
      <family val="0"/>
      <charset val="1"/>
    </font>
    <font>
      <b val="true"/>
      <sz val="8.5"/>
      <color rgb="FFD9770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4F008C"/>
        <bgColor rgb="FF2D0054"/>
      </patternFill>
    </fill>
    <fill>
      <patternFill patternType="solid">
        <fgColor rgb="FF2D0054"/>
        <bgColor rgb="FF4F008C"/>
      </patternFill>
    </fill>
    <fill>
      <patternFill patternType="solid">
        <fgColor rgb="FFF3E8FF"/>
        <bgColor rgb="FFEFEFF2"/>
      </patternFill>
    </fill>
    <fill>
      <patternFill patternType="solid">
        <fgColor rgb="FFFFFFFF"/>
        <bgColor rgb="FFFBF9FD"/>
      </patternFill>
    </fill>
    <fill>
      <patternFill patternType="solid">
        <fgColor rgb="FFFFE4E9"/>
        <bgColor rgb="FFFFF0F3"/>
      </patternFill>
    </fill>
    <fill>
      <patternFill patternType="solid">
        <fgColor rgb="FFF7F4FB"/>
        <bgColor rgb="FFFBF9FD"/>
      </patternFill>
    </fill>
    <fill>
      <patternFill patternType="solid">
        <fgColor rgb="FFFF375E"/>
        <bgColor rgb="FF993366"/>
      </patternFill>
    </fill>
    <fill>
      <patternFill patternType="solid">
        <fgColor rgb="FFFFFDE8"/>
        <bgColor rgb="FFFFFFFF"/>
      </patternFill>
    </fill>
    <fill>
      <patternFill patternType="solid">
        <fgColor rgb="FFFBF9FD"/>
        <bgColor rgb="FFF7F4FB"/>
      </patternFill>
    </fill>
    <fill>
      <patternFill patternType="solid">
        <fgColor rgb="FFC9A9E8"/>
        <bgColor rgb="FFC9B8DC"/>
      </patternFill>
    </fill>
    <fill>
      <patternFill patternType="solid">
        <fgColor rgb="FF9C6FD1"/>
        <bgColor rgb="FF969696"/>
      </patternFill>
    </fill>
    <fill>
      <patternFill patternType="solid">
        <fgColor rgb="FF1D4ED8"/>
        <bgColor rgb="FF3366FF"/>
      </patternFill>
    </fill>
    <fill>
      <patternFill patternType="solid">
        <fgColor rgb="FFD97706"/>
        <bgColor rgb="FFFF9900"/>
      </patternFill>
    </fill>
    <fill>
      <patternFill patternType="solid">
        <fgColor rgb="FF059669"/>
        <bgColor rgb="FF0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C9B8DC"/>
      </left>
      <right style="thin">
        <color rgb="FFC9B8DC"/>
      </right>
      <top style="thin">
        <color rgb="FFC9B8DC"/>
      </top>
      <bottom style="thin">
        <color rgb="FFC9B8DC"/>
      </bottom>
      <diagonal/>
    </border>
    <border diagonalUp="false" diagonalDown="false">
      <left/>
      <right/>
      <top/>
      <bottom style="medium">
        <color rgb="FF4F008C"/>
      </bottom>
      <diagonal/>
    </border>
    <border diagonalUp="false" diagonalDown="false">
      <left style="thin">
        <color rgb="FFE2D9EE"/>
      </left>
      <right style="thin">
        <color rgb="FFE2D9EE"/>
      </right>
      <top style="thin">
        <color rgb="FFE2D9EE"/>
      </top>
      <bottom style="thin">
        <color rgb="FFE2D9EE"/>
      </bottom>
      <diagonal/>
    </border>
    <border diagonalUp="false" diagonalDown="false">
      <left style="thin">
        <color rgb="FFE2D9EE"/>
      </left>
      <right style="thin">
        <color rgb="FFE2D9EE"/>
      </right>
      <top style="medium">
        <color rgb="FF4F008C"/>
      </top>
      <bottom/>
      <diagonal/>
    </border>
    <border diagonalUp="false" diagonalDown="false">
      <left style="thin">
        <color rgb="FFE2D9EE"/>
      </left>
      <right style="thin">
        <color rgb="FFE2D9EE"/>
      </right>
      <top style="medium">
        <color rgb="FF059669"/>
      </top>
      <bottom/>
      <diagonal/>
    </border>
    <border diagonalUp="false" diagonalDown="false">
      <left style="thin">
        <color rgb="FFE2D9EE"/>
      </left>
      <right style="thin">
        <color rgb="FFE2D9EE"/>
      </right>
      <top style="medium">
        <color rgb="FF1D4ED8"/>
      </top>
      <bottom/>
      <diagonal/>
    </border>
    <border diagonalUp="false" diagonalDown="false">
      <left style="thin">
        <color rgb="FFE2D9EE"/>
      </left>
      <right style="thin">
        <color rgb="FFE2D9EE"/>
      </right>
      <top style="medium">
        <color rgb="FFFF375E"/>
      </top>
      <bottom/>
      <diagonal/>
    </border>
    <border diagonalUp="false" diagonalDown="false">
      <left style="thin">
        <color rgb="FFE2D9EE"/>
      </left>
      <right style="thin">
        <color rgb="FFE2D9EE"/>
      </right>
      <top style="medium">
        <color rgb="FF6B7280"/>
      </top>
      <bottom/>
      <diagonal/>
    </border>
    <border diagonalUp="false" diagonalDown="false">
      <left style="thin">
        <color rgb="FFE2D9EE"/>
      </left>
      <right style="thin">
        <color rgb="FFE2D9EE"/>
      </right>
      <top/>
      <bottom/>
      <diagonal/>
    </border>
    <border diagonalUp="false" diagonalDown="false">
      <left style="thin">
        <color rgb="FFE2D9EE"/>
      </left>
      <right style="thin">
        <color rgb="FFE2D9EE"/>
      </right>
      <top/>
      <bottom style="thin">
        <color rgb="FFE2D9EE"/>
      </bottom>
      <diagonal/>
    </border>
    <border diagonalUp="false" diagonalDown="false">
      <left style="thin">
        <color rgb="FF4F008C"/>
      </left>
      <right style="thin">
        <color rgb="FF4F008C"/>
      </right>
      <top style="thin">
        <color rgb="FF4F008C"/>
      </top>
      <bottom style="medium">
        <color rgb="FF2D0054"/>
      </bottom>
      <diagonal/>
    </border>
    <border diagonalUp="false" diagonalDown="false">
      <left/>
      <right/>
      <top style="thin">
        <color rgb="FF4F008C"/>
      </top>
      <bottom style="thin">
        <color rgb="FF4F00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0">
    <dxf>
      <font>
        <name val="Arial"/>
        <charset val="1"/>
        <family val="0"/>
        <b val="1"/>
        <color rgb="FF059669"/>
        <sz val="9"/>
      </font>
      <fill>
        <patternFill>
          <bgColor rgb="FFD9F2E6"/>
        </patternFill>
      </fill>
    </dxf>
    <dxf>
      <font>
        <name val="Arial"/>
        <charset val="1"/>
        <family val="0"/>
        <b val="1"/>
        <color rgb="FFFF375E"/>
        <sz val="9"/>
      </font>
      <fill>
        <patternFill>
          <bgColor rgb="FFFFE4E9"/>
        </patternFill>
      </fill>
    </dxf>
    <dxf>
      <font>
        <name val="Arial"/>
        <charset val="1"/>
        <family val="0"/>
        <b val="1"/>
        <color rgb="FFD97706"/>
        <sz val="9"/>
      </font>
      <fill>
        <patternFill>
          <bgColor rgb="FFFDF0DC"/>
        </patternFill>
      </fill>
    </dxf>
    <dxf>
      <font>
        <name val="Arial"/>
        <charset val="1"/>
        <family val="0"/>
        <b val="1"/>
        <color rgb="FF1D4ED8"/>
        <sz val="9"/>
      </font>
      <fill>
        <patternFill>
          <bgColor rgb="FFDDE6FB"/>
        </patternFill>
      </fill>
    </dxf>
    <dxf>
      <font>
        <name val="Arial"/>
        <charset val="1"/>
        <family val="0"/>
        <b val="1"/>
        <color rgb="FF4F008C"/>
        <sz val="9"/>
      </font>
      <fill>
        <patternFill>
          <bgColor rgb="FFF3E8FF"/>
        </patternFill>
      </fill>
    </dxf>
    <dxf>
      <font>
        <name val="Arial"/>
        <charset val="1"/>
        <family val="0"/>
        <b val="1"/>
        <color rgb="FF6B7280"/>
        <sz val="9"/>
      </font>
      <fill>
        <patternFill>
          <bgColor rgb="FFEFEFF2"/>
        </patternFill>
      </fill>
    </dxf>
    <dxf>
      <fill>
        <patternFill patternType="solid">
          <fgColor rgb="FF4F008C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BF9F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252D"/>
          <bgColor rgb="FF000000"/>
        </patternFill>
      </fill>
    </dxf>
    <dxf>
      <fill>
        <patternFill patternType="solid">
          <fgColor rgb="FF2D0054"/>
          <bgColor rgb="FF000000"/>
        </patternFill>
      </fill>
    </dxf>
    <dxf>
      <fill>
        <patternFill patternType="solid">
          <fgColor rgb="FFFFE4E9"/>
          <bgColor rgb="FF000000"/>
        </patternFill>
      </fill>
    </dxf>
    <dxf>
      <fill>
        <patternFill patternType="solid">
          <fgColor rgb="FFFFFDE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F2E6"/>
          <bgColor rgb="FF000000"/>
        </patternFill>
      </fill>
    </dxf>
    <dxf>
      <fill>
        <patternFill patternType="solid">
          <fgColor rgb="FFDDE6FB"/>
          <bgColor rgb="FF000000"/>
        </patternFill>
      </fill>
    </dxf>
    <dxf>
      <fill>
        <patternFill patternType="solid">
          <fgColor rgb="FFEFEFF2"/>
          <bgColor rgb="FF000000"/>
        </patternFill>
      </fill>
    </dxf>
    <dxf>
      <fill>
        <patternFill patternType="solid">
          <fgColor rgb="FFFDF0DC"/>
          <bgColor rgb="FF000000"/>
        </patternFill>
      </fill>
    </dxf>
    <dxf>
      <fill>
        <patternFill patternType="solid">
          <fgColor rgb="FF059669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FF375E"/>
          <bgColor rgb="FF000000"/>
        </patternFill>
      </fill>
    </dxf>
    <dxf>
      <font>
        <name val="Arial"/>
        <charset val="1"/>
        <family val="0"/>
        <b val="1"/>
        <color rgb="FFFF375E"/>
        <sz val="8"/>
      </font>
      <fill>
        <patternFill>
          <bgColor rgb="FFFFE4E9"/>
        </patternFill>
      </fill>
    </dxf>
    <dxf>
      <font>
        <name val="Arial"/>
        <charset val="1"/>
        <family val="0"/>
        <b val="1"/>
        <color rgb="FFD97706"/>
        <sz val="8"/>
      </font>
      <fill>
        <patternFill>
          <bgColor rgb="FFFDF0DC"/>
        </patternFill>
      </fill>
    </dxf>
    <dxf>
      <font>
        <name val="Arial"/>
        <charset val="1"/>
        <family val="0"/>
        <b val="1"/>
        <color rgb="FF059669"/>
        <sz val="8"/>
      </font>
      <fill>
        <patternFill>
          <bgColor rgb="FFD9F2E6"/>
        </patternFill>
      </fill>
    </dxf>
    <dxf>
      <font>
        <name val="Arial"/>
        <charset val="1"/>
        <family val="0"/>
        <b val="1"/>
        <color rgb="FF1D4ED8"/>
        <sz val="8"/>
      </font>
      <fill>
        <patternFill>
          <bgColor rgb="FFDDE6FB"/>
        </patternFill>
      </fill>
    </dxf>
    <dxf>
      <font>
        <name val="Arial"/>
        <charset val="1"/>
        <family val="0"/>
        <b val="1"/>
        <color rgb="FF4F008C"/>
        <sz val="8"/>
      </font>
      <fill>
        <patternFill>
          <bgColor rgb="FFF3E8FF"/>
        </patternFill>
      </fill>
    </dxf>
    <dxf>
      <font>
        <name val="Arial"/>
        <charset val="1"/>
        <family val="0"/>
        <b val="1"/>
        <color rgb="FF6B7280"/>
        <sz val="8"/>
      </font>
      <fill>
        <patternFill>
          <bgColor rgb="FFEFEFF2"/>
        </patternFill>
      </fill>
    </dxf>
    <dxf>
      <fill>
        <patternFill>
          <bgColor rgb="FFFFF0F3"/>
        </patternFill>
      </fill>
    </dxf>
    <dxf>
      <fill>
        <patternFill>
          <bgColor rgb="FFFF375E"/>
        </patternFill>
      </fill>
    </dxf>
    <dxf>
      <fill>
        <patternFill>
          <bgColor rgb="FF2D0054"/>
        </patternFill>
      </fill>
    </dxf>
    <dxf>
      <fill>
        <patternFill>
          <bgColor rgb="FFC9A9E8"/>
        </patternFill>
      </fill>
    </dxf>
    <dxf>
      <fill>
        <patternFill>
          <bgColor rgb="FF9C6FD1"/>
        </patternFill>
      </fill>
    </dxf>
    <dxf>
      <fill>
        <patternFill>
          <bgColor rgb="FF1D4ED8"/>
        </patternFill>
      </fill>
    </dxf>
    <dxf>
      <fill>
        <patternFill>
          <bgColor rgb="FF6C93F0"/>
        </patternFill>
      </fill>
    </dxf>
    <dxf>
      <fill>
        <patternFill>
          <bgColor rgb="FF4F008C"/>
        </patternFill>
      </fill>
    </dxf>
    <dxf>
      <fill>
        <patternFill>
          <bgColor rgb="FFD97706"/>
        </patternFill>
      </fill>
    </dxf>
    <dxf>
      <fill>
        <patternFill>
          <bgColor rgb="FF059669"/>
        </patternFill>
      </fill>
    </dxf>
  </dxfs>
  <colors>
    <indexedColors>
      <rgbColor rgb="FF000000"/>
      <rgbColor rgb="FFFFFFFF"/>
      <rgbColor rgb="FFFF375E"/>
      <rgbColor rgb="FF00FF00"/>
      <rgbColor rgb="FF0000FF"/>
      <rgbColor rgb="FFFFF0F3"/>
      <rgbColor rgb="FFFF00FF"/>
      <rgbColor rgb="FF00FFFF"/>
      <rgbColor rgb="FF800000"/>
      <rgbColor rgb="FF008000"/>
      <rgbColor rgb="FF2D0054"/>
      <rgbColor rgb="FF808000"/>
      <rgbColor rgb="FF800080"/>
      <rgbColor rgb="FF059669"/>
      <rgbColor rgb="FFC9B8DC"/>
      <rgbColor rgb="FF9C6FD1"/>
      <rgbColor rgb="FF6C93F0"/>
      <rgbColor rgb="FF993366"/>
      <rgbColor rgb="FFFFFDE8"/>
      <rgbColor rgb="FFD9F2E6"/>
      <rgbColor rgb="FF4F008C"/>
      <rgbColor rgb="FFFF8080"/>
      <rgbColor rgb="FF1D4ED8"/>
      <rgbColor rgb="FFE2D9EE"/>
      <rgbColor rgb="FF000080"/>
      <rgbColor rgb="FFFF00FF"/>
      <rgbColor rgb="FFF7F4FB"/>
      <rgbColor rgb="FF00FFFF"/>
      <rgbColor rgb="FF800080"/>
      <rgbColor rgb="FF800000"/>
      <rgbColor rgb="FF008080"/>
      <rgbColor rgb="FF0000FF"/>
      <rgbColor rgb="FF00CCFF"/>
      <rgbColor rgb="FFDDE6FB"/>
      <rgbColor rgb="FFEFEFF2"/>
      <rgbColor rgb="FFFDF0DC"/>
      <rgbColor rgb="FFE6D9F5"/>
      <rgbColor rgb="FFF3E8FF"/>
      <rgbColor rgb="FFC9A9E8"/>
      <rgbColor rgb="FFFFE4E9"/>
      <rgbColor rgb="FF3366FF"/>
      <rgbColor rgb="FF33CCCC"/>
      <rgbColor rgb="FF99CC00"/>
      <rgbColor rgb="FFFBF9FD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5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008C"/>
    <pageSetUpPr fitToPage="true"/>
  </sheetPr>
  <dimension ref="A1:S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19" min="2" style="0" width="8.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7.5" hidden="false" customHeight="true" outlineLevel="0" collapsed="false"/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7.5" hidden="false" customHeight="true" outlineLevel="0" collapsed="false"/>
    <row r="7" customFormat="false" ht="21.7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customFormat="false" ht="18.75" hidden="false" customHeight="true" outlineLevel="0" collapsed="false">
      <c r="B8" s="6" t="s">
        <v>5</v>
      </c>
      <c r="C8" s="6"/>
      <c r="D8" s="6"/>
      <c r="E8" s="6"/>
      <c r="F8" s="7" t="s">
        <v>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customFormat="false" ht="18.75" hidden="false" customHeight="true" outlineLevel="0" collapsed="false">
      <c r="B9" s="6" t="s">
        <v>7</v>
      </c>
      <c r="C9" s="6"/>
      <c r="D9" s="6"/>
      <c r="E9" s="6"/>
      <c r="F9" s="7" t="s">
        <v>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customFormat="false" ht="18.75" hidden="false" customHeight="true" outlineLevel="0" collapsed="false">
      <c r="B10" s="6" t="s">
        <v>9</v>
      </c>
      <c r="C10" s="6"/>
      <c r="D10" s="6"/>
      <c r="E10" s="6"/>
      <c r="F10" s="7" t="s">
        <v>10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customFormat="false" ht="18.75" hidden="false" customHeight="true" outlineLevel="0" collapsed="false">
      <c r="B11" s="6" t="s">
        <v>11</v>
      </c>
      <c r="C11" s="6"/>
      <c r="D11" s="6"/>
      <c r="E11" s="6"/>
      <c r="F11" s="7" t="s">
        <v>12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customFormat="false" ht="18.75" hidden="false" customHeight="true" outlineLevel="0" collapsed="false">
      <c r="B12" s="6" t="s">
        <v>13</v>
      </c>
      <c r="C12" s="6"/>
      <c r="D12" s="6"/>
      <c r="E12" s="6"/>
      <c r="F12" s="7" t="s">
        <v>14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customFormat="false" ht="18.75" hidden="false" customHeight="true" outlineLevel="0" collapsed="false">
      <c r="B13" s="6" t="s">
        <v>15</v>
      </c>
      <c r="C13" s="6"/>
      <c r="D13" s="6"/>
      <c r="E13" s="6"/>
      <c r="F13" s="7" t="s">
        <v>16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customFormat="false" ht="6" hidden="false" customHeight="true" outlineLevel="0" collapsed="false"/>
    <row r="15" customFormat="false" ht="43.5" hidden="false" customHeight="true" outlineLevel="0" collapsed="false">
      <c r="B15" s="6" t="s">
        <v>17</v>
      </c>
      <c r="C15" s="6"/>
      <c r="D15" s="6"/>
      <c r="E15" s="6"/>
      <c r="F15" s="8" t="s">
        <v>18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5.5" hidden="false" customHeight="true" outlineLevel="0" collapsed="false">
      <c r="B16" s="6" t="s">
        <v>19</v>
      </c>
      <c r="C16" s="6"/>
      <c r="D16" s="6"/>
      <c r="E16" s="6"/>
      <c r="F16" s="9" t="s">
        <v>20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8" customFormat="false" ht="21.75" hidden="false" customHeight="true" outlineLevel="0" collapsed="false">
      <c r="A18" s="5" t="s">
        <v>21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20" customFormat="false" ht="15.75" hidden="false" customHeight="true" outlineLevel="0" collapsed="false">
      <c r="B20" s="10" t="s">
        <v>22</v>
      </c>
      <c r="C20" s="10"/>
      <c r="D20" s="10"/>
      <c r="E20" s="11" t="s">
        <v>23</v>
      </c>
      <c r="F20" s="11"/>
      <c r="G20" s="11"/>
      <c r="H20" s="12" t="s">
        <v>24</v>
      </c>
      <c r="I20" s="12"/>
      <c r="J20" s="12"/>
      <c r="K20" s="13" t="s">
        <v>25</v>
      </c>
      <c r="L20" s="13"/>
      <c r="M20" s="13"/>
      <c r="N20" s="14" t="s">
        <v>26</v>
      </c>
      <c r="O20" s="14"/>
      <c r="P20" s="14"/>
      <c r="Q20" s="10" t="s">
        <v>27</v>
      </c>
      <c r="R20" s="10"/>
      <c r="S20" s="10"/>
    </row>
    <row r="21" customFormat="false" ht="31.5" hidden="false" customHeight="true" outlineLevel="0" collapsed="false">
      <c r="B21" s="15" t="n">
        <f aca="false">COUNTA('2. Master Schedule'!$B$10:$B$63)</f>
        <v>49</v>
      </c>
      <c r="C21" s="15"/>
      <c r="D21" s="15"/>
      <c r="E21" s="16" t="n">
        <f aca="false">COUNTIF('2. Master Schedule'!$J$10:$J$63,"Completed")</f>
        <v>1</v>
      </c>
      <c r="F21" s="16"/>
      <c r="G21" s="16"/>
      <c r="H21" s="17" t="n">
        <f aca="false">COUNTIF('2. Master Schedule'!$J$10:$J$63,"In Progress")</f>
        <v>1</v>
      </c>
      <c r="I21" s="17"/>
      <c r="J21" s="17"/>
      <c r="K21" s="18" t="n">
        <f aca="false">COUNTIF('2. Master Schedule'!$J$10:$J$63,"Blocked")</f>
        <v>2</v>
      </c>
      <c r="L21" s="18"/>
      <c r="M21" s="18"/>
      <c r="N21" s="19" t="n">
        <f aca="false">COUNTIF('2. Master Schedule'!$J$10:$J$63,"Not Started")</f>
        <v>41</v>
      </c>
      <c r="O21" s="19"/>
      <c r="P21" s="19"/>
      <c r="Q21" s="20" t="n">
        <f aca="false">IFERROR(AVERAGE('2. Master Schedule'!$K$10:$K$63),0)</f>
        <v>0.0204081632653061</v>
      </c>
      <c r="R21" s="20"/>
      <c r="S21" s="20"/>
    </row>
    <row r="22" customFormat="false" ht="15.75" hidden="false" customHeight="true" outlineLevel="0" collapsed="false">
      <c r="B22" s="21" t="s">
        <v>28</v>
      </c>
      <c r="C22" s="21"/>
      <c r="D22" s="21"/>
      <c r="E22" s="21" t="s">
        <v>29</v>
      </c>
      <c r="F22" s="21"/>
      <c r="G22" s="21"/>
      <c r="H22" s="21" t="s">
        <v>30</v>
      </c>
      <c r="I22" s="21"/>
      <c r="J22" s="21"/>
      <c r="K22" s="21" t="s">
        <v>31</v>
      </c>
      <c r="L22" s="21"/>
      <c r="M22" s="21"/>
      <c r="N22" s="21" t="s">
        <v>32</v>
      </c>
      <c r="O22" s="21"/>
      <c r="P22" s="21"/>
      <c r="Q22" s="21" t="s">
        <v>33</v>
      </c>
      <c r="R22" s="21"/>
      <c r="S22" s="21"/>
    </row>
    <row r="24" customFormat="false" ht="21.75" hidden="false" customHeight="true" outlineLevel="0" collapsed="false">
      <c r="A24" s="5" t="s">
        <v>34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6" customFormat="false" ht="19.5" hidden="false" customHeight="true" outlineLevel="0" collapsed="false">
      <c r="B26" s="22" t="s">
        <v>35</v>
      </c>
      <c r="C26" s="22"/>
      <c r="D26" s="22"/>
      <c r="E26" s="22"/>
      <c r="F26" s="22"/>
      <c r="G26" s="22"/>
      <c r="H26" s="22"/>
      <c r="I26" s="22"/>
      <c r="J26" s="22"/>
      <c r="K26" s="22" t="s">
        <v>36</v>
      </c>
      <c r="L26" s="22"/>
      <c r="M26" s="22"/>
      <c r="N26" s="22"/>
      <c r="O26" s="22"/>
      <c r="P26" s="22"/>
      <c r="Q26" s="22"/>
      <c r="R26" s="22"/>
      <c r="S26" s="22"/>
    </row>
    <row r="27" customFormat="false" ht="31.5" hidden="false" customHeight="true" outlineLevel="0" collapsed="false">
      <c r="B27" s="23" t="s">
        <v>37</v>
      </c>
      <c r="C27" s="23"/>
      <c r="D27" s="23"/>
      <c r="E27" s="23"/>
      <c r="F27" s="23"/>
      <c r="G27" s="23"/>
      <c r="H27" s="23"/>
      <c r="I27" s="23"/>
      <c r="J27" s="23"/>
      <c r="K27" s="23" t="s">
        <v>38</v>
      </c>
      <c r="L27" s="23"/>
      <c r="M27" s="23"/>
      <c r="N27" s="23"/>
      <c r="O27" s="23"/>
      <c r="P27" s="23"/>
      <c r="Q27" s="23"/>
      <c r="R27" s="23"/>
      <c r="S27" s="23"/>
    </row>
    <row r="28" customFormat="false" ht="61.5" hidden="false" customHeight="true" outlineLevel="0" collapsed="false">
      <c r="B28" s="8" t="s">
        <v>39</v>
      </c>
      <c r="C28" s="8"/>
      <c r="D28" s="8"/>
      <c r="E28" s="8"/>
      <c r="F28" s="8"/>
      <c r="G28" s="8"/>
      <c r="H28" s="8"/>
      <c r="I28" s="8"/>
      <c r="J28" s="8"/>
      <c r="K28" s="8" t="s">
        <v>40</v>
      </c>
      <c r="L28" s="8"/>
      <c r="M28" s="8"/>
      <c r="N28" s="8"/>
      <c r="O28" s="8"/>
      <c r="P28" s="8"/>
      <c r="Q28" s="8"/>
      <c r="R28" s="8"/>
      <c r="S28" s="8"/>
    </row>
    <row r="30" customFormat="false" ht="21.75" hidden="false" customHeight="true" outlineLevel="0" collapsed="false">
      <c r="A30" s="5" t="s">
        <v>41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2" customFormat="false" ht="25.5" hidden="false" customHeight="true" outlineLevel="0" collapsed="false">
      <c r="B32" s="24" t="s">
        <v>42</v>
      </c>
      <c r="C32" s="24"/>
      <c r="D32" s="24"/>
      <c r="E32" s="24"/>
      <c r="F32" s="24" t="s">
        <v>43</v>
      </c>
      <c r="G32" s="24"/>
      <c r="H32" s="24" t="s">
        <v>44</v>
      </c>
      <c r="I32" s="24"/>
      <c r="J32" s="24" t="s">
        <v>45</v>
      </c>
      <c r="K32" s="24"/>
      <c r="L32" s="24" t="s">
        <v>46</v>
      </c>
      <c r="M32" s="24"/>
      <c r="N32" s="24"/>
      <c r="O32" s="24" t="s">
        <v>47</v>
      </c>
      <c r="P32" s="24"/>
      <c r="Q32" s="24"/>
      <c r="R32" s="24"/>
      <c r="S32" s="24"/>
    </row>
    <row r="33" customFormat="false" ht="25.5" hidden="false" customHeight="true" outlineLevel="0" collapsed="false">
      <c r="B33" s="7" t="s">
        <v>48</v>
      </c>
      <c r="C33" s="7"/>
      <c r="D33" s="7"/>
      <c r="E33" s="7"/>
      <c r="F33" s="25" t="s">
        <v>49</v>
      </c>
      <c r="G33" s="25"/>
      <c r="H33" s="25" t="s">
        <v>50</v>
      </c>
      <c r="I33" s="25"/>
      <c r="J33" s="26" t="s">
        <v>51</v>
      </c>
      <c r="K33" s="26"/>
      <c r="L33" s="27" t="s">
        <v>52</v>
      </c>
      <c r="M33" s="27"/>
      <c r="N33" s="27"/>
      <c r="O33" s="27" t="s">
        <v>53</v>
      </c>
      <c r="P33" s="27"/>
      <c r="Q33" s="27"/>
      <c r="R33" s="27"/>
      <c r="S33" s="27"/>
    </row>
    <row r="34" customFormat="false" ht="25.5" hidden="false" customHeight="true" outlineLevel="0" collapsed="false">
      <c r="B34" s="28" t="s">
        <v>54</v>
      </c>
      <c r="C34" s="28"/>
      <c r="D34" s="28"/>
      <c r="E34" s="28"/>
      <c r="F34" s="25" t="s">
        <v>49</v>
      </c>
      <c r="G34" s="25"/>
      <c r="H34" s="25" t="s">
        <v>50</v>
      </c>
      <c r="I34" s="25"/>
      <c r="J34" s="29" t="s">
        <v>51</v>
      </c>
      <c r="K34" s="29"/>
      <c r="L34" s="30" t="s">
        <v>55</v>
      </c>
      <c r="M34" s="30"/>
      <c r="N34" s="30"/>
      <c r="O34" s="30" t="s">
        <v>56</v>
      </c>
      <c r="P34" s="30"/>
      <c r="Q34" s="30"/>
      <c r="R34" s="30"/>
      <c r="S34" s="30"/>
    </row>
    <row r="35" customFormat="false" ht="25.5" hidden="false" customHeight="true" outlineLevel="0" collapsed="false">
      <c r="B35" s="31" t="s">
        <v>57</v>
      </c>
      <c r="C35" s="31"/>
      <c r="D35" s="31"/>
      <c r="E35" s="31"/>
      <c r="F35" s="25" t="s">
        <v>49</v>
      </c>
      <c r="G35" s="25"/>
      <c r="H35" s="25" t="s">
        <v>50</v>
      </c>
      <c r="I35" s="25"/>
      <c r="J35" s="26" t="s">
        <v>58</v>
      </c>
      <c r="K35" s="26"/>
      <c r="L35" s="27" t="s">
        <v>59</v>
      </c>
      <c r="M35" s="27"/>
      <c r="N35" s="27"/>
      <c r="O35" s="27" t="s">
        <v>60</v>
      </c>
      <c r="P35" s="27"/>
      <c r="Q35" s="27"/>
      <c r="R35" s="27"/>
      <c r="S35" s="27"/>
    </row>
    <row r="36" customFormat="false" ht="25.5" hidden="false" customHeight="true" outlineLevel="0" collapsed="false">
      <c r="B36" s="31" t="s">
        <v>61</v>
      </c>
      <c r="C36" s="31"/>
      <c r="D36" s="31"/>
      <c r="E36" s="31"/>
      <c r="F36" s="25" t="s">
        <v>49</v>
      </c>
      <c r="G36" s="25"/>
      <c r="H36" s="25" t="s">
        <v>50</v>
      </c>
      <c r="I36" s="25"/>
      <c r="J36" s="29" t="s">
        <v>51</v>
      </c>
      <c r="K36" s="29"/>
      <c r="L36" s="30" t="s">
        <v>62</v>
      </c>
      <c r="M36" s="30"/>
      <c r="N36" s="30"/>
      <c r="O36" s="30" t="s">
        <v>63</v>
      </c>
      <c r="P36" s="30"/>
      <c r="Q36" s="30"/>
      <c r="R36" s="30"/>
      <c r="S36" s="30"/>
    </row>
    <row r="37" customFormat="false" ht="25.5" hidden="false" customHeight="true" outlineLevel="0" collapsed="false">
      <c r="B37" s="7" t="s">
        <v>64</v>
      </c>
      <c r="C37" s="7"/>
      <c r="D37" s="7"/>
      <c r="E37" s="7"/>
      <c r="F37" s="25" t="s">
        <v>49</v>
      </c>
      <c r="G37" s="25"/>
      <c r="H37" s="25" t="s">
        <v>50</v>
      </c>
      <c r="I37" s="25"/>
      <c r="J37" s="26" t="s">
        <v>65</v>
      </c>
      <c r="K37" s="26"/>
      <c r="L37" s="27" t="s">
        <v>66</v>
      </c>
      <c r="M37" s="27"/>
      <c r="N37" s="27"/>
      <c r="O37" s="27" t="s">
        <v>67</v>
      </c>
      <c r="P37" s="27"/>
      <c r="Q37" s="27"/>
      <c r="R37" s="27"/>
      <c r="S37" s="27"/>
    </row>
    <row r="38" customFormat="false" ht="25.5" hidden="false" customHeight="true" outlineLevel="0" collapsed="false">
      <c r="B38" s="28" t="s">
        <v>68</v>
      </c>
      <c r="C38" s="28"/>
      <c r="D38" s="28"/>
      <c r="E38" s="28"/>
      <c r="F38" s="25" t="s">
        <v>49</v>
      </c>
      <c r="G38" s="25"/>
      <c r="H38" s="25" t="s">
        <v>50</v>
      </c>
      <c r="I38" s="25"/>
      <c r="J38" s="29" t="s">
        <v>69</v>
      </c>
      <c r="K38" s="29"/>
      <c r="L38" s="30" t="s">
        <v>70</v>
      </c>
      <c r="M38" s="30"/>
      <c r="N38" s="30"/>
      <c r="O38" s="30" t="s">
        <v>71</v>
      </c>
      <c r="P38" s="30"/>
      <c r="Q38" s="30"/>
      <c r="R38" s="30"/>
      <c r="S38" s="30"/>
    </row>
    <row r="39" customFormat="false" ht="25.5" hidden="false" customHeight="true" outlineLevel="0" collapsed="false">
      <c r="B39" s="7" t="s">
        <v>72</v>
      </c>
      <c r="C39" s="7"/>
      <c r="D39" s="7"/>
      <c r="E39" s="7"/>
      <c r="F39" s="25" t="s">
        <v>49</v>
      </c>
      <c r="G39" s="25"/>
      <c r="H39" s="25" t="s">
        <v>50</v>
      </c>
      <c r="I39" s="25"/>
      <c r="J39" s="26" t="s">
        <v>51</v>
      </c>
      <c r="K39" s="26"/>
      <c r="L39" s="27" t="s">
        <v>73</v>
      </c>
      <c r="M39" s="27"/>
      <c r="N39" s="27"/>
      <c r="O39" s="27" t="s">
        <v>74</v>
      </c>
      <c r="P39" s="27"/>
      <c r="Q39" s="27"/>
      <c r="R39" s="27"/>
      <c r="S39" s="27"/>
    </row>
    <row r="40" customFormat="false" ht="25.5" hidden="false" customHeight="true" outlineLevel="0" collapsed="false">
      <c r="B40" s="28" t="s">
        <v>75</v>
      </c>
      <c r="C40" s="28"/>
      <c r="D40" s="28"/>
      <c r="E40" s="28"/>
      <c r="F40" s="25" t="s">
        <v>49</v>
      </c>
      <c r="G40" s="25"/>
      <c r="H40" s="25" t="s">
        <v>50</v>
      </c>
      <c r="I40" s="25"/>
      <c r="J40" s="29" t="s">
        <v>51</v>
      </c>
      <c r="K40" s="29"/>
      <c r="L40" s="30" t="s">
        <v>76</v>
      </c>
      <c r="M40" s="30"/>
      <c r="N40" s="30"/>
      <c r="O40" s="30" t="s">
        <v>77</v>
      </c>
      <c r="P40" s="30"/>
      <c r="Q40" s="30"/>
      <c r="R40" s="30"/>
      <c r="S40" s="30"/>
    </row>
    <row r="41" customFormat="false" ht="25.5" hidden="false" customHeight="true" outlineLevel="0" collapsed="false">
      <c r="B41" s="7" t="s">
        <v>78</v>
      </c>
      <c r="C41" s="7"/>
      <c r="D41" s="7"/>
      <c r="E41" s="7"/>
      <c r="F41" s="25" t="s">
        <v>49</v>
      </c>
      <c r="G41" s="25"/>
      <c r="H41" s="25" t="s">
        <v>50</v>
      </c>
      <c r="I41" s="25"/>
      <c r="J41" s="26" t="s">
        <v>51</v>
      </c>
      <c r="K41" s="26"/>
      <c r="L41" s="27" t="s">
        <v>79</v>
      </c>
      <c r="M41" s="27"/>
      <c r="N41" s="27"/>
      <c r="O41" s="27" t="s">
        <v>80</v>
      </c>
      <c r="P41" s="27"/>
      <c r="Q41" s="27"/>
      <c r="R41" s="27"/>
      <c r="S41" s="27"/>
    </row>
    <row r="42" customFormat="false" ht="25.5" hidden="false" customHeight="true" outlineLevel="0" collapsed="false">
      <c r="B42" s="28" t="s">
        <v>81</v>
      </c>
      <c r="C42" s="28"/>
      <c r="D42" s="28"/>
      <c r="E42" s="28"/>
      <c r="F42" s="25" t="s">
        <v>49</v>
      </c>
      <c r="G42" s="25"/>
      <c r="H42" s="25" t="s">
        <v>50</v>
      </c>
      <c r="I42" s="25"/>
      <c r="J42" s="29" t="s">
        <v>51</v>
      </c>
      <c r="K42" s="29"/>
      <c r="L42" s="30" t="s">
        <v>82</v>
      </c>
      <c r="M42" s="30"/>
      <c r="N42" s="30"/>
      <c r="O42" s="30" t="s">
        <v>83</v>
      </c>
      <c r="P42" s="30"/>
      <c r="Q42" s="30"/>
      <c r="R42" s="30"/>
      <c r="S42" s="30"/>
    </row>
    <row r="43" customFormat="false" ht="25.5" hidden="false" customHeight="true" outlineLevel="0" collapsed="false">
      <c r="B43" s="7" t="s">
        <v>84</v>
      </c>
      <c r="C43" s="7"/>
      <c r="D43" s="7"/>
      <c r="E43" s="7"/>
      <c r="F43" s="25" t="s">
        <v>49</v>
      </c>
      <c r="G43" s="25"/>
      <c r="H43" s="25" t="s">
        <v>50</v>
      </c>
      <c r="I43" s="25"/>
      <c r="J43" s="26" t="s">
        <v>51</v>
      </c>
      <c r="K43" s="26"/>
      <c r="L43" s="27" t="s">
        <v>85</v>
      </c>
      <c r="M43" s="27"/>
      <c r="N43" s="27"/>
      <c r="O43" s="27" t="s">
        <v>86</v>
      </c>
      <c r="P43" s="27"/>
      <c r="Q43" s="27"/>
      <c r="R43" s="27"/>
      <c r="S43" s="27"/>
    </row>
    <row r="44" customFormat="false" ht="25.5" hidden="false" customHeight="true" outlineLevel="0" collapsed="false">
      <c r="B44" s="28" t="s">
        <v>87</v>
      </c>
      <c r="C44" s="28"/>
      <c r="D44" s="28"/>
      <c r="E44" s="28"/>
      <c r="F44" s="25" t="s">
        <v>49</v>
      </c>
      <c r="G44" s="25"/>
      <c r="H44" s="25" t="s">
        <v>50</v>
      </c>
      <c r="I44" s="25"/>
      <c r="J44" s="29" t="s">
        <v>51</v>
      </c>
      <c r="K44" s="29"/>
      <c r="L44" s="30" t="s">
        <v>88</v>
      </c>
      <c r="M44" s="30"/>
      <c r="N44" s="30"/>
      <c r="O44" s="30" t="s">
        <v>89</v>
      </c>
      <c r="P44" s="30"/>
      <c r="Q44" s="30"/>
      <c r="R44" s="30"/>
      <c r="S44" s="30"/>
    </row>
    <row r="45" customFormat="false" ht="25.5" hidden="false" customHeight="true" outlineLevel="0" collapsed="false">
      <c r="B45" s="7" t="s">
        <v>90</v>
      </c>
      <c r="C45" s="7"/>
      <c r="D45" s="7"/>
      <c r="E45" s="7"/>
      <c r="F45" s="25" t="s">
        <v>49</v>
      </c>
      <c r="G45" s="25"/>
      <c r="H45" s="25" t="s">
        <v>50</v>
      </c>
      <c r="I45" s="25"/>
      <c r="J45" s="26" t="s">
        <v>51</v>
      </c>
      <c r="K45" s="26"/>
      <c r="L45" s="27" t="s">
        <v>91</v>
      </c>
      <c r="M45" s="27"/>
      <c r="N45" s="27"/>
      <c r="O45" s="27" t="s">
        <v>92</v>
      </c>
      <c r="P45" s="27"/>
      <c r="Q45" s="27"/>
      <c r="R45" s="27"/>
      <c r="S45" s="27"/>
    </row>
    <row r="47" customFormat="false" ht="21.75" hidden="false" customHeight="true" outlineLevel="0" collapsed="false">
      <c r="A47" s="5" t="s">
        <v>93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9" customFormat="false" ht="25.5" hidden="false" customHeight="true" outlineLevel="0" collapsed="false">
      <c r="B49" s="24" t="s">
        <v>94</v>
      </c>
      <c r="C49" s="24"/>
      <c r="D49" s="24" t="s">
        <v>95</v>
      </c>
      <c r="E49" s="24"/>
      <c r="F49" s="24"/>
      <c r="G49" s="24"/>
      <c r="H49" s="24"/>
      <c r="I49" s="24"/>
      <c r="J49" s="24" t="s">
        <v>96</v>
      </c>
      <c r="K49" s="24"/>
      <c r="L49" s="24"/>
      <c r="M49" s="24" t="s">
        <v>97</v>
      </c>
      <c r="N49" s="24"/>
      <c r="O49" s="24" t="s">
        <v>45</v>
      </c>
      <c r="P49" s="24"/>
      <c r="Q49" s="24" t="s">
        <v>98</v>
      </c>
      <c r="R49" s="24"/>
      <c r="S49" s="24"/>
    </row>
    <row r="50" customFormat="false" ht="25.5" hidden="false" customHeight="true" outlineLevel="0" collapsed="false">
      <c r="B50" s="32" t="s">
        <v>99</v>
      </c>
      <c r="C50" s="32"/>
      <c r="D50" s="7" t="s">
        <v>100</v>
      </c>
      <c r="E50" s="7"/>
      <c r="F50" s="7"/>
      <c r="G50" s="7"/>
      <c r="H50" s="7"/>
      <c r="I50" s="7"/>
      <c r="J50" s="27" t="s">
        <v>101</v>
      </c>
      <c r="K50" s="27"/>
      <c r="L50" s="27"/>
      <c r="M50" s="26" t="s">
        <v>102</v>
      </c>
      <c r="N50" s="26"/>
      <c r="O50" s="26" t="s">
        <v>103</v>
      </c>
      <c r="P50" s="26"/>
      <c r="Q50" s="27" t="s">
        <v>104</v>
      </c>
      <c r="R50" s="27"/>
      <c r="S50" s="27"/>
    </row>
    <row r="51" customFormat="false" ht="25.5" hidden="false" customHeight="true" outlineLevel="0" collapsed="false">
      <c r="B51" s="33" t="s">
        <v>105</v>
      </c>
      <c r="C51" s="33"/>
      <c r="D51" s="28" t="s">
        <v>106</v>
      </c>
      <c r="E51" s="28"/>
      <c r="F51" s="28"/>
      <c r="G51" s="28"/>
      <c r="H51" s="28"/>
      <c r="I51" s="28"/>
      <c r="J51" s="30" t="s">
        <v>107</v>
      </c>
      <c r="K51" s="30"/>
      <c r="L51" s="30"/>
      <c r="M51" s="29" t="s">
        <v>102</v>
      </c>
      <c r="N51" s="29"/>
      <c r="O51" s="29" t="s">
        <v>58</v>
      </c>
      <c r="P51" s="29"/>
      <c r="Q51" s="30" t="s">
        <v>108</v>
      </c>
      <c r="R51" s="30"/>
      <c r="S51" s="30"/>
    </row>
    <row r="52" customFormat="false" ht="25.5" hidden="false" customHeight="true" outlineLevel="0" collapsed="false">
      <c r="B52" s="32" t="s">
        <v>109</v>
      </c>
      <c r="C52" s="32"/>
      <c r="D52" s="7" t="s">
        <v>110</v>
      </c>
      <c r="E52" s="7"/>
      <c r="F52" s="7"/>
      <c r="G52" s="7"/>
      <c r="H52" s="7"/>
      <c r="I52" s="7"/>
      <c r="J52" s="27" t="s">
        <v>111</v>
      </c>
      <c r="K52" s="27"/>
      <c r="L52" s="27"/>
      <c r="M52" s="26" t="s">
        <v>102</v>
      </c>
      <c r="N52" s="26"/>
      <c r="O52" s="26" t="s">
        <v>51</v>
      </c>
      <c r="P52" s="26"/>
      <c r="Q52" s="27" t="s">
        <v>112</v>
      </c>
      <c r="R52" s="27"/>
      <c r="S52" s="27"/>
    </row>
    <row r="53" customFormat="false" ht="25.5" hidden="false" customHeight="true" outlineLevel="0" collapsed="false">
      <c r="B53" s="33" t="s">
        <v>113</v>
      </c>
      <c r="C53" s="33"/>
      <c r="D53" s="28" t="s">
        <v>114</v>
      </c>
      <c r="E53" s="28"/>
      <c r="F53" s="28"/>
      <c r="G53" s="28"/>
      <c r="H53" s="28"/>
      <c r="I53" s="28"/>
      <c r="J53" s="30" t="s">
        <v>115</v>
      </c>
      <c r="K53" s="30"/>
      <c r="L53" s="30"/>
      <c r="M53" s="29" t="s">
        <v>102</v>
      </c>
      <c r="N53" s="29"/>
      <c r="O53" s="29" t="s">
        <v>51</v>
      </c>
      <c r="P53" s="29"/>
      <c r="Q53" s="30" t="s">
        <v>116</v>
      </c>
      <c r="R53" s="30"/>
      <c r="S53" s="30"/>
    </row>
    <row r="54" customFormat="false" ht="25.5" hidden="false" customHeight="true" outlineLevel="0" collapsed="false">
      <c r="B54" s="32" t="s">
        <v>117</v>
      </c>
      <c r="C54" s="32"/>
      <c r="D54" s="7" t="s">
        <v>118</v>
      </c>
      <c r="E54" s="7"/>
      <c r="F54" s="7"/>
      <c r="G54" s="7"/>
      <c r="H54" s="7"/>
      <c r="I54" s="7"/>
      <c r="J54" s="27" t="s">
        <v>115</v>
      </c>
      <c r="K54" s="27"/>
      <c r="L54" s="27"/>
      <c r="M54" s="26" t="s">
        <v>119</v>
      </c>
      <c r="N54" s="26"/>
      <c r="O54" s="26" t="s">
        <v>51</v>
      </c>
      <c r="P54" s="26"/>
      <c r="Q54" s="27" t="s">
        <v>120</v>
      </c>
      <c r="R54" s="27"/>
      <c r="S54" s="27"/>
    </row>
    <row r="55" customFormat="false" ht="25.5" hidden="false" customHeight="true" outlineLevel="0" collapsed="false">
      <c r="B55" s="33" t="s">
        <v>121</v>
      </c>
      <c r="C55" s="33"/>
      <c r="D55" s="28" t="s">
        <v>122</v>
      </c>
      <c r="E55" s="28"/>
      <c r="F55" s="28"/>
      <c r="G55" s="28"/>
      <c r="H55" s="28"/>
      <c r="I55" s="28"/>
      <c r="J55" s="30" t="s">
        <v>123</v>
      </c>
      <c r="K55" s="30"/>
      <c r="L55" s="30"/>
      <c r="M55" s="29" t="s">
        <v>119</v>
      </c>
      <c r="N55" s="29"/>
      <c r="O55" s="29" t="s">
        <v>51</v>
      </c>
      <c r="P55" s="29"/>
      <c r="Q55" s="30" t="s">
        <v>124</v>
      </c>
      <c r="R55" s="30"/>
      <c r="S55" s="30"/>
    </row>
    <row r="57" customFormat="false" ht="21.75" hidden="false" customHeight="true" outlineLevel="0" collapsed="false">
      <c r="A57" s="5" t="s">
        <v>125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9" customFormat="false" ht="18" hidden="false" customHeight="true" outlineLevel="0" collapsed="false">
      <c r="B59" s="34" t="s">
        <v>126</v>
      </c>
      <c r="C59" s="27" t="s">
        <v>127</v>
      </c>
      <c r="D59" s="27"/>
      <c r="E59" s="27"/>
      <c r="F59" s="27"/>
      <c r="G59" s="27"/>
      <c r="H59" s="27"/>
      <c r="I59" s="27"/>
      <c r="J59" s="35" t="s">
        <v>128</v>
      </c>
      <c r="K59" s="27" t="s">
        <v>129</v>
      </c>
      <c r="L59" s="27"/>
      <c r="M59" s="27"/>
      <c r="N59" s="27"/>
      <c r="O59" s="27"/>
      <c r="P59" s="27"/>
      <c r="Q59" s="27"/>
      <c r="R59" s="27"/>
      <c r="S59" s="27"/>
    </row>
    <row r="60" customFormat="false" ht="18" hidden="false" customHeight="true" outlineLevel="0" collapsed="false">
      <c r="B60" s="36" t="s">
        <v>130</v>
      </c>
      <c r="C60" s="27" t="s">
        <v>131</v>
      </c>
      <c r="D60" s="27"/>
      <c r="E60" s="27"/>
      <c r="F60" s="27"/>
      <c r="G60" s="27"/>
      <c r="H60" s="27"/>
      <c r="I60" s="27"/>
      <c r="J60" s="37" t="s">
        <v>132</v>
      </c>
      <c r="K60" s="27" t="s">
        <v>51</v>
      </c>
      <c r="L60" s="27"/>
      <c r="M60" s="27"/>
      <c r="N60" s="27"/>
      <c r="O60" s="27"/>
      <c r="P60" s="27"/>
      <c r="Q60" s="27"/>
      <c r="R60" s="27"/>
      <c r="S60" s="27"/>
    </row>
    <row r="61" customFormat="false" ht="18" hidden="false" customHeight="true" outlineLevel="0" collapsed="false">
      <c r="B61" s="38" t="s">
        <v>133</v>
      </c>
      <c r="C61" s="27" t="s">
        <v>103</v>
      </c>
      <c r="D61" s="27"/>
      <c r="E61" s="27"/>
      <c r="F61" s="27"/>
      <c r="G61" s="27"/>
      <c r="H61" s="27"/>
      <c r="I61" s="27"/>
      <c r="J61" s="39" t="s">
        <v>134</v>
      </c>
      <c r="K61" s="27" t="s">
        <v>135</v>
      </c>
      <c r="L61" s="27"/>
      <c r="M61" s="27"/>
      <c r="N61" s="27"/>
      <c r="O61" s="27"/>
      <c r="P61" s="27"/>
      <c r="Q61" s="27"/>
      <c r="R61" s="27"/>
      <c r="S61" s="27"/>
    </row>
    <row r="63" customFormat="false" ht="31.5" hidden="false" customHeight="true" outlineLevel="0" collapsed="false">
      <c r="A63" s="40" t="s">
        <v>136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</row>
    <row r="64" customFormat="false" ht="21.75" hidden="false" customHeight="true" outlineLevel="0" collapsed="false">
      <c r="A64" s="41" t="s">
        <v>137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</row>
  </sheetData>
  <mergeCells count="184">
    <mergeCell ref="A1:S1"/>
    <mergeCell ref="A2:S2"/>
    <mergeCell ref="A3:S3"/>
    <mergeCell ref="A5:S5"/>
    <mergeCell ref="A7:S7"/>
    <mergeCell ref="B8:E8"/>
    <mergeCell ref="F8:S8"/>
    <mergeCell ref="B9:E9"/>
    <mergeCell ref="F9:S9"/>
    <mergeCell ref="B10:E10"/>
    <mergeCell ref="F10:S10"/>
    <mergeCell ref="B11:E11"/>
    <mergeCell ref="F11:S11"/>
    <mergeCell ref="B12:E12"/>
    <mergeCell ref="F12:S12"/>
    <mergeCell ref="B13:E13"/>
    <mergeCell ref="F13:S13"/>
    <mergeCell ref="B15:E15"/>
    <mergeCell ref="F15:S15"/>
    <mergeCell ref="B16:E16"/>
    <mergeCell ref="F16:S16"/>
    <mergeCell ref="A18:S18"/>
    <mergeCell ref="B20:D20"/>
    <mergeCell ref="E20:G20"/>
    <mergeCell ref="H20:J20"/>
    <mergeCell ref="K20:M20"/>
    <mergeCell ref="N20:P20"/>
    <mergeCell ref="Q20:S20"/>
    <mergeCell ref="B21:D21"/>
    <mergeCell ref="E21:G21"/>
    <mergeCell ref="H21:J21"/>
    <mergeCell ref="K21:M21"/>
    <mergeCell ref="N21:P21"/>
    <mergeCell ref="Q21:S21"/>
    <mergeCell ref="B22:D22"/>
    <mergeCell ref="E22:G22"/>
    <mergeCell ref="H22:J22"/>
    <mergeCell ref="K22:M22"/>
    <mergeCell ref="N22:P22"/>
    <mergeCell ref="Q22:S22"/>
    <mergeCell ref="A24:S24"/>
    <mergeCell ref="B26:J26"/>
    <mergeCell ref="K26:S26"/>
    <mergeCell ref="B27:J27"/>
    <mergeCell ref="K27:S27"/>
    <mergeCell ref="B28:J28"/>
    <mergeCell ref="K28:S28"/>
    <mergeCell ref="A30:S30"/>
    <mergeCell ref="B32:E32"/>
    <mergeCell ref="F32:G32"/>
    <mergeCell ref="H32:I32"/>
    <mergeCell ref="J32:K32"/>
    <mergeCell ref="L32:N32"/>
    <mergeCell ref="O32:S32"/>
    <mergeCell ref="B33:E33"/>
    <mergeCell ref="F33:G33"/>
    <mergeCell ref="H33:I33"/>
    <mergeCell ref="J33:K33"/>
    <mergeCell ref="L33:N33"/>
    <mergeCell ref="O33:S33"/>
    <mergeCell ref="B34:E34"/>
    <mergeCell ref="F34:G34"/>
    <mergeCell ref="H34:I34"/>
    <mergeCell ref="J34:K34"/>
    <mergeCell ref="L34:N34"/>
    <mergeCell ref="O34:S34"/>
    <mergeCell ref="B35:E35"/>
    <mergeCell ref="F35:G35"/>
    <mergeCell ref="H35:I35"/>
    <mergeCell ref="J35:K35"/>
    <mergeCell ref="L35:N35"/>
    <mergeCell ref="O35:S35"/>
    <mergeCell ref="B36:E36"/>
    <mergeCell ref="F36:G36"/>
    <mergeCell ref="H36:I36"/>
    <mergeCell ref="J36:K36"/>
    <mergeCell ref="L36:N36"/>
    <mergeCell ref="O36:S36"/>
    <mergeCell ref="B37:E37"/>
    <mergeCell ref="F37:G37"/>
    <mergeCell ref="H37:I37"/>
    <mergeCell ref="J37:K37"/>
    <mergeCell ref="L37:N37"/>
    <mergeCell ref="O37:S37"/>
    <mergeCell ref="B38:E38"/>
    <mergeCell ref="F38:G38"/>
    <mergeCell ref="H38:I38"/>
    <mergeCell ref="J38:K38"/>
    <mergeCell ref="L38:N38"/>
    <mergeCell ref="O38:S38"/>
    <mergeCell ref="B39:E39"/>
    <mergeCell ref="F39:G39"/>
    <mergeCell ref="H39:I39"/>
    <mergeCell ref="J39:K39"/>
    <mergeCell ref="L39:N39"/>
    <mergeCell ref="O39:S39"/>
    <mergeCell ref="B40:E40"/>
    <mergeCell ref="F40:G40"/>
    <mergeCell ref="H40:I40"/>
    <mergeCell ref="J40:K40"/>
    <mergeCell ref="L40:N40"/>
    <mergeCell ref="O40:S40"/>
    <mergeCell ref="B41:E41"/>
    <mergeCell ref="F41:G41"/>
    <mergeCell ref="H41:I41"/>
    <mergeCell ref="J41:K41"/>
    <mergeCell ref="L41:N41"/>
    <mergeCell ref="O41:S41"/>
    <mergeCell ref="B42:E42"/>
    <mergeCell ref="F42:G42"/>
    <mergeCell ref="H42:I42"/>
    <mergeCell ref="J42:K42"/>
    <mergeCell ref="L42:N42"/>
    <mergeCell ref="O42:S42"/>
    <mergeCell ref="B43:E43"/>
    <mergeCell ref="F43:G43"/>
    <mergeCell ref="H43:I43"/>
    <mergeCell ref="J43:K43"/>
    <mergeCell ref="L43:N43"/>
    <mergeCell ref="O43:S43"/>
    <mergeCell ref="B44:E44"/>
    <mergeCell ref="F44:G44"/>
    <mergeCell ref="H44:I44"/>
    <mergeCell ref="J44:K44"/>
    <mergeCell ref="L44:N44"/>
    <mergeCell ref="O44:S44"/>
    <mergeCell ref="B45:E45"/>
    <mergeCell ref="F45:G45"/>
    <mergeCell ref="H45:I45"/>
    <mergeCell ref="J45:K45"/>
    <mergeCell ref="L45:N45"/>
    <mergeCell ref="O45:S45"/>
    <mergeCell ref="A47:S47"/>
    <mergeCell ref="B49:C49"/>
    <mergeCell ref="D49:I49"/>
    <mergeCell ref="J49:L49"/>
    <mergeCell ref="M49:N49"/>
    <mergeCell ref="O49:P49"/>
    <mergeCell ref="Q49:S49"/>
    <mergeCell ref="B50:C50"/>
    <mergeCell ref="D50:I50"/>
    <mergeCell ref="J50:L50"/>
    <mergeCell ref="M50:N50"/>
    <mergeCell ref="O50:P50"/>
    <mergeCell ref="Q50:S50"/>
    <mergeCell ref="B51:C51"/>
    <mergeCell ref="D51:I51"/>
    <mergeCell ref="J51:L51"/>
    <mergeCell ref="M51:N51"/>
    <mergeCell ref="O51:P51"/>
    <mergeCell ref="Q51:S51"/>
    <mergeCell ref="B52:C52"/>
    <mergeCell ref="D52:I52"/>
    <mergeCell ref="J52:L52"/>
    <mergeCell ref="M52:N52"/>
    <mergeCell ref="O52:P52"/>
    <mergeCell ref="Q52:S52"/>
    <mergeCell ref="B53:C53"/>
    <mergeCell ref="D53:I53"/>
    <mergeCell ref="J53:L53"/>
    <mergeCell ref="M53:N53"/>
    <mergeCell ref="O53:P53"/>
    <mergeCell ref="Q53:S53"/>
    <mergeCell ref="B54:C54"/>
    <mergeCell ref="D54:I54"/>
    <mergeCell ref="J54:L54"/>
    <mergeCell ref="M54:N54"/>
    <mergeCell ref="O54:P54"/>
    <mergeCell ref="Q54:S54"/>
    <mergeCell ref="B55:C55"/>
    <mergeCell ref="D55:I55"/>
    <mergeCell ref="J55:L55"/>
    <mergeCell ref="M55:N55"/>
    <mergeCell ref="O55:P55"/>
    <mergeCell ref="Q55:S55"/>
    <mergeCell ref="A57:S57"/>
    <mergeCell ref="C59:I59"/>
    <mergeCell ref="K59:S59"/>
    <mergeCell ref="C60:I60"/>
    <mergeCell ref="K60:S60"/>
    <mergeCell ref="C61:I61"/>
    <mergeCell ref="K61:S61"/>
    <mergeCell ref="A63:S63"/>
    <mergeCell ref="A64:S64"/>
  </mergeCells>
  <conditionalFormatting sqref="J33:K45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"At Risk"</formula>
    </cfRule>
    <cfRule type="cellIs" priority="5" operator="equal" aboveAverage="0" equalAverage="0" bottom="0" percent="0" rank="0" text="" dxfId="3">
      <formula>"In Progress"</formula>
    </cfRule>
    <cfRule type="cellIs" priority="6" operator="equal" aboveAverage="0" equalAverage="0" bottom="0" percent="0" rank="0" text="" dxfId="2">
      <formula>"Pending Approval"</formula>
    </cfRule>
    <cfRule type="cellIs" priority="7" operator="equal" aboveAverage="0" equalAverage="0" bottom="0" percent="0" rank="0" text="" dxfId="2">
      <formula>"Pending Material"</formula>
    </cfRule>
    <cfRule type="cellIs" priority="8" operator="equal" aboveAverage="0" equalAverage="0" bottom="0" percent="0" rank="0" text="" dxfId="4">
      <formula>"Ready to Start"</formula>
    </cfRule>
    <cfRule type="cellIs" priority="9" operator="equal" aboveAverage="0" equalAverage="0" bottom="0" percent="0" rank="0" text="" dxfId="5">
      <formula>"Not Started"</formula>
    </cfRule>
  </conditionalFormatting>
  <conditionalFormatting sqref="O50:P55">
    <cfRule type="cellIs" priority="10" operator="equal" aboveAverage="0" equalAverage="0" bottom="0" percent="0" rank="0" text="" dxfId="0">
      <formula>"Completed"</formula>
    </cfRule>
    <cfRule type="cellIs" priority="11" operator="equal" aboveAverage="0" equalAverage="0" bottom="0" percent="0" rank="0" text="" dxfId="1">
      <formula>"Blocked"</formula>
    </cfRule>
    <cfRule type="cellIs" priority="12" operator="equal" aboveAverage="0" equalAverage="0" bottom="0" percent="0" rank="0" text="" dxfId="2">
      <formula>"At Risk"</formula>
    </cfRule>
    <cfRule type="cellIs" priority="13" operator="equal" aboveAverage="0" equalAverage="0" bottom="0" percent="0" rank="0" text="" dxfId="3">
      <formula>"In Progress"</formula>
    </cfRule>
    <cfRule type="cellIs" priority="14" operator="equal" aboveAverage="0" equalAverage="0" bottom="0" percent="0" rank="0" text="" dxfId="2">
      <formula>"Pending Approval"</formula>
    </cfRule>
    <cfRule type="cellIs" priority="15" operator="equal" aboveAverage="0" equalAverage="0" bottom="0" percent="0" rank="0" text="" dxfId="2">
      <formula>"Pending Material"</formula>
    </cfRule>
    <cfRule type="cellIs" priority="16" operator="equal" aboveAverage="0" equalAverage="0" bottom="0" percent="0" rank="0" text="" dxfId="4">
      <formula>"Ready to Start"</formula>
    </cfRule>
    <cfRule type="cellIs" priority="17" operator="equal" aboveAverage="0" equalAverage="0" bottom="0" percent="0" rank="0" text="" dxfId="5">
      <formula>"Not Started"</formula>
    </cfRule>
  </conditionalFormatting>
  <conditionalFormatting sqref="M50:N55">
    <cfRule type="cellIs" priority="18" operator="equal" aboveAverage="0" equalAverage="0" bottom="0" percent="0" rank="0" text="" dxfId="1">
      <formula>"Critical"</formula>
    </cfRule>
    <cfRule type="cellIs" priority="19" operator="equal" aboveAverage="0" equalAverage="0" bottom="0" percent="0" rank="0" text="" dxfId="2">
      <formula>"High"</formula>
    </cfRule>
  </conditionalFormatting>
  <dataValidations count="1">
    <dataValidation allowBlank="true" error="Please choose a value from the drop-down list." errorStyle="warning" errorTitle="Value not in list" operator="between" prompt="Select the milestone status." promptTitle="Status" showDropDown="false" showErrorMessage="true" showInputMessage="true" sqref="J33:J45" type="list">
      <formula1>"Not Started,Ready to Start,In Progress,Blocked,At Risk,Pending Approval,Pending Material,Completed"</formula1>
      <formula2>0</formula2>
    </dataValidation>
  </dataValidations>
  <printOptions headings="false" gridLines="false" gridLinesSet="true" horizontalCentered="true" verticalCentered="false"/>
  <pageMargins left="0.35" right="0.35" top="0.5" bottom="0.6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&amp;K6b7280Confidential — Project Planning Document&amp;C&amp;8 &amp;K6b7280Prepared based on the RC Vehicle Survey Report dated 30-Jun-2026  |  Version 0.1 — Preliminary Planning Baseline&amp;R&amp;8 &amp;K6b7280Page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008C"/>
    <pageSetUpPr fitToPage="true"/>
  </sheetPr>
  <dimension ref="A1:U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4" min="14" style="0" width="15"/>
    <col collapsed="false" customWidth="true" hidden="false" outlineLevel="0" max="15" min="15" style="0" width="18"/>
    <col collapsed="false" customWidth="true" hidden="false" outlineLevel="0" max="17" min="16" style="0" width="34"/>
    <col collapsed="false" customWidth="true" hidden="false" outlineLevel="0" max="18" min="18" style="0" width="12"/>
    <col collapsed="false" customWidth="true" hidden="false" outlineLevel="0" max="19" min="19" style="0" width="52"/>
    <col collapsed="false" customWidth="true" hidden="false" outlineLevel="0" max="20" min="20" style="0" width="12"/>
    <col collapsed="false" customWidth="true" hidden="false" outlineLevel="0" max="21" min="21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27.75" hidden="false" customHeight="true" outlineLevel="0" collapsed="false">
      <c r="A6" s="40" t="s">
        <v>138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customFormat="false" ht="6" hidden="false" customHeight="true" outlineLevel="0" collapsed="false"/>
    <row r="8" customFormat="false" ht="39.75" hidden="false" customHeight="true" outlineLevel="0" collapsed="false">
      <c r="A8" s="24" t="s">
        <v>139</v>
      </c>
      <c r="B8" s="24" t="s">
        <v>140</v>
      </c>
      <c r="C8" s="24" t="s">
        <v>141</v>
      </c>
      <c r="D8" s="24" t="s">
        <v>142</v>
      </c>
      <c r="E8" s="24" t="s">
        <v>143</v>
      </c>
      <c r="F8" s="24" t="s">
        <v>144</v>
      </c>
      <c r="G8" s="24" t="s">
        <v>145</v>
      </c>
      <c r="H8" s="24" t="s">
        <v>146</v>
      </c>
      <c r="I8" s="24" t="s">
        <v>147</v>
      </c>
      <c r="J8" s="24" t="s">
        <v>45</v>
      </c>
      <c r="K8" s="24" t="s">
        <v>148</v>
      </c>
      <c r="L8" s="24" t="s">
        <v>149</v>
      </c>
      <c r="M8" s="24" t="s">
        <v>150</v>
      </c>
      <c r="N8" s="24" t="s">
        <v>151</v>
      </c>
      <c r="O8" s="24" t="s">
        <v>152</v>
      </c>
      <c r="P8" s="24" t="s">
        <v>46</v>
      </c>
      <c r="Q8" s="24" t="s">
        <v>153</v>
      </c>
      <c r="R8" s="24" t="s">
        <v>154</v>
      </c>
      <c r="S8" s="24" t="s">
        <v>47</v>
      </c>
      <c r="T8" s="24" t="s">
        <v>155</v>
      </c>
      <c r="U8" s="24" t="s">
        <v>156</v>
      </c>
    </row>
    <row r="9" customFormat="false" ht="19.5" hidden="false" customHeight="true" outlineLevel="0" collapsed="false">
      <c r="A9" s="42" t="s">
        <v>157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</row>
    <row r="10" customFormat="false" ht="15" hidden="false" customHeight="false" outlineLevel="0" collapsed="false">
      <c r="A10" s="26" t="n">
        <v>1</v>
      </c>
      <c r="B10" s="26" t="s">
        <v>158</v>
      </c>
      <c r="C10" s="8" t="s">
        <v>159</v>
      </c>
      <c r="D10" s="43" t="s">
        <v>160</v>
      </c>
      <c r="E10" s="8" t="s">
        <v>161</v>
      </c>
      <c r="F10" s="26" t="s">
        <v>162</v>
      </c>
      <c r="G10" s="44"/>
      <c r="H10" s="44"/>
      <c r="I10" s="45" t="str">
        <f aca="false">IF(OR($G10="",$H10=""),"TBD",$H10-$G10+1)</f>
        <v>TBD</v>
      </c>
      <c r="J10" s="26" t="s">
        <v>51</v>
      </c>
      <c r="K10" s="46" t="n">
        <v>0</v>
      </c>
      <c r="L10" s="8" t="s">
        <v>12</v>
      </c>
      <c r="M10" s="8" t="s">
        <v>11</v>
      </c>
      <c r="N10" s="26" t="s">
        <v>50</v>
      </c>
      <c r="O10" s="8" t="s">
        <v>50</v>
      </c>
      <c r="P10" s="8" t="s">
        <v>163</v>
      </c>
      <c r="Q10" s="8" t="s">
        <v>162</v>
      </c>
      <c r="R10" s="26" t="s">
        <v>164</v>
      </c>
      <c r="S10" s="47" t="s">
        <v>165</v>
      </c>
      <c r="T10" s="45" t="str">
        <f aca="true">IF($H10="","TBD",IF($J10="Completed","Closed",$H10-TODAY()))</f>
        <v>TBD</v>
      </c>
      <c r="U10" s="45" t="str">
        <f aca="true">IF($J10="Completed","COMPLETE",IF(AND($H10&lt;&gt;"",$H10&lt;TODAY()),"OVERDUE",IF($J10="Blocked","BLOCKED",IF(ISNUMBER(SEARCH("Power availability",$P10)),"PENDING POWER AVAILABILITY",IF(IFERROR(IF($F10="—",FALSE(),INDEX($J:$J,MATCH($F10,$B:$B,0))&lt;&gt;"Completed"),FALSE()),"PENDING PREDECESSOR",IF($J10="At Risk","AT RISK",IF(OR($J10="Pending Approval",$J10="Pending Material"),UPPER($J10),IF($J10="In Progress","IN PROGRESS",IF($J10="Ready to Start","READY TO START","ON PLAN")))))))))</f>
        <v>ON PLAN</v>
      </c>
    </row>
    <row r="11" customFormat="false" ht="19.4" hidden="false" customHeight="false" outlineLevel="0" collapsed="false">
      <c r="A11" s="29" t="n">
        <v>2</v>
      </c>
      <c r="B11" s="29" t="s">
        <v>166</v>
      </c>
      <c r="C11" s="48" t="s">
        <v>159</v>
      </c>
      <c r="D11" s="49" t="s">
        <v>167</v>
      </c>
      <c r="E11" s="48" t="s">
        <v>8</v>
      </c>
      <c r="F11" s="29" t="s">
        <v>162</v>
      </c>
      <c r="G11" s="50" t="n">
        <v>46203</v>
      </c>
      <c r="H11" s="50" t="n">
        <v>46203</v>
      </c>
      <c r="I11" s="51" t="n">
        <f aca="false">IF(OR($G11="",$H11=""),"TBD",$H11-$G11+1)</f>
        <v>1</v>
      </c>
      <c r="J11" s="29" t="s">
        <v>168</v>
      </c>
      <c r="K11" s="52" t="n">
        <v>1</v>
      </c>
      <c r="L11" s="48" t="s">
        <v>50</v>
      </c>
      <c r="M11" s="48" t="s">
        <v>169</v>
      </c>
      <c r="N11" s="29" t="s">
        <v>50</v>
      </c>
      <c r="O11" s="48" t="s">
        <v>50</v>
      </c>
      <c r="P11" s="48" t="s">
        <v>162</v>
      </c>
      <c r="Q11" s="48" t="s">
        <v>162</v>
      </c>
      <c r="R11" s="29" t="s">
        <v>164</v>
      </c>
      <c r="S11" s="53" t="s">
        <v>170</v>
      </c>
      <c r="T11" s="51" t="str">
        <f aca="true">IF($H11="","TBD",IF($J11="Completed","Closed",$H11-TODAY()))</f>
        <v>Closed</v>
      </c>
      <c r="U11" s="54" t="str">
        <f aca="true">IF($J11="Completed","COMPLETE",IF(AND($H11&lt;&gt;"",$H11&lt;TODAY()),"OVERDUE",IF($J11="Blocked","BLOCKED",IF(ISNUMBER(SEARCH("Power availability",$P11)),"PENDING POWER AVAILABILITY",IF(IFERROR(IF($F11="—",FALSE(),INDEX($J:$J,MATCH($F11,$B:$B,0))&lt;&gt;"Completed"),FALSE()),"PENDING PREDECESSOR",IF($J11="At Risk","AT RISK",IF(OR($J11="Pending Approval",$J11="Pending Material"),UPPER($J11),IF($J11="In Progress","IN PROGRESS",IF($J11="Ready to Start","READY TO START","ON PLAN")))))))))</f>
        <v>COMPLETE</v>
      </c>
    </row>
    <row r="12" customFormat="false" ht="15" hidden="false" customHeight="false" outlineLevel="0" collapsed="false">
      <c r="A12" s="26" t="n">
        <v>3</v>
      </c>
      <c r="B12" s="26" t="s">
        <v>171</v>
      </c>
      <c r="C12" s="8" t="s">
        <v>159</v>
      </c>
      <c r="D12" s="43" t="s">
        <v>172</v>
      </c>
      <c r="E12" s="8" t="s">
        <v>161</v>
      </c>
      <c r="F12" s="26" t="s">
        <v>166</v>
      </c>
      <c r="G12" s="44"/>
      <c r="H12" s="44"/>
      <c r="I12" s="45" t="str">
        <f aca="false">IF(OR($G12="",$H12=""),"TBD",$H12-$G12+1)</f>
        <v>TBD</v>
      </c>
      <c r="J12" s="26" t="s">
        <v>173</v>
      </c>
      <c r="K12" s="46" t="n">
        <v>0</v>
      </c>
      <c r="L12" s="8" t="s">
        <v>12</v>
      </c>
      <c r="M12" s="8" t="s">
        <v>11</v>
      </c>
      <c r="N12" s="26" t="s">
        <v>50</v>
      </c>
      <c r="O12" s="8" t="s">
        <v>50</v>
      </c>
      <c r="P12" s="8" t="s">
        <v>174</v>
      </c>
      <c r="Q12" s="8" t="s">
        <v>162</v>
      </c>
      <c r="R12" s="26" t="s">
        <v>164</v>
      </c>
      <c r="S12" s="47" t="s">
        <v>175</v>
      </c>
      <c r="T12" s="45" t="str">
        <f aca="true">IF($H12="","TBD",IF($J12="Completed","Closed",$H12-TODAY()))</f>
        <v>TBD</v>
      </c>
      <c r="U12" s="45" t="str">
        <f aca="true">IF($J12="Completed","COMPLETE",IF(AND($H12&lt;&gt;"",$H12&lt;TODAY()),"OVERDUE",IF($J12="Blocked","BLOCKED",IF(ISNUMBER(SEARCH("Power availability",$P12)),"PENDING POWER AVAILABILITY",IF(IFERROR(IF($F12="—",FALSE(),INDEX($J:$J,MATCH($F12,$B:$B,0))&lt;&gt;"Completed"),FALSE()),"PENDING PREDECESSOR",IF($J12="At Risk","AT RISK",IF(OR($J12="Pending Approval",$J12="Pending Material"),UPPER($J12),IF($J12="In Progress","IN PROGRESS",IF($J12="Ready to Start","READY TO START","ON PLAN")))))))))</f>
        <v>READY TO START</v>
      </c>
    </row>
    <row r="13" customFormat="false" ht="19.4" hidden="false" customHeight="false" outlineLevel="0" collapsed="false">
      <c r="A13" s="29" t="n">
        <v>4</v>
      </c>
      <c r="B13" s="29" t="s">
        <v>176</v>
      </c>
      <c r="C13" s="48" t="s">
        <v>159</v>
      </c>
      <c r="D13" s="49" t="s">
        <v>177</v>
      </c>
      <c r="E13" s="48" t="s">
        <v>161</v>
      </c>
      <c r="F13" s="29" t="s">
        <v>171</v>
      </c>
      <c r="G13" s="44"/>
      <c r="H13" s="44"/>
      <c r="I13" s="51" t="str">
        <f aca="false">IF(OR($G13="",$H13=""),"TBD",$H13-$G13+1)</f>
        <v>TBD</v>
      </c>
      <c r="J13" s="29" t="s">
        <v>51</v>
      </c>
      <c r="K13" s="46" t="n">
        <v>0</v>
      </c>
      <c r="L13" s="48" t="s">
        <v>12</v>
      </c>
      <c r="M13" s="48" t="s">
        <v>11</v>
      </c>
      <c r="N13" s="29" t="s">
        <v>50</v>
      </c>
      <c r="O13" s="48" t="s">
        <v>50</v>
      </c>
      <c r="P13" s="48" t="s">
        <v>178</v>
      </c>
      <c r="Q13" s="48" t="s">
        <v>162</v>
      </c>
      <c r="R13" s="29" t="s">
        <v>179</v>
      </c>
      <c r="S13" s="53" t="s">
        <v>180</v>
      </c>
      <c r="T13" s="51" t="str">
        <f aca="true">IF($H13="","TBD",IF($J13="Completed","Closed",$H13-TODAY()))</f>
        <v>TBD</v>
      </c>
      <c r="U13" s="54" t="str">
        <f aca="true">IF($J13="Completed","COMPLETE",IF(AND($H13&lt;&gt;"",$H13&lt;TODAY()),"OVERDUE",IF($J13="Blocked","BLOCKED",IF(ISNUMBER(SEARCH("Power availability",$P13)),"PENDING POWER AVAILABILITY",IF(IFERROR(IF($F13="—",FALSE(),INDEX($J:$J,MATCH($F13,$B:$B,0))&lt;&gt;"Completed"),FALSE()),"PENDING PREDECESSOR",IF($J13="At Risk","AT RISK",IF(OR($J13="Pending Approval",$J13="Pending Material"),UPPER($J13),IF($J13="In Progress","IN PROGRESS",IF($J13="Ready to Start","READY TO START","ON PLAN")))))))))</f>
        <v>PENDING PREDECESSOR</v>
      </c>
    </row>
    <row r="14" customFormat="false" ht="15" hidden="false" customHeight="false" outlineLevel="0" collapsed="false">
      <c r="A14" s="26" t="n">
        <v>5</v>
      </c>
      <c r="B14" s="26" t="s">
        <v>181</v>
      </c>
      <c r="C14" s="8" t="s">
        <v>159</v>
      </c>
      <c r="D14" s="43" t="s">
        <v>182</v>
      </c>
      <c r="E14" s="8" t="s">
        <v>183</v>
      </c>
      <c r="F14" s="26" t="s">
        <v>158</v>
      </c>
      <c r="G14" s="44"/>
      <c r="H14" s="44"/>
      <c r="I14" s="45" t="str">
        <f aca="false">IF(OR($G14="",$H14=""),"TBD",$H14-$G14+1)</f>
        <v>TBD</v>
      </c>
      <c r="J14" s="26" t="s">
        <v>51</v>
      </c>
      <c r="K14" s="46" t="n">
        <v>0</v>
      </c>
      <c r="L14" s="8" t="s">
        <v>12</v>
      </c>
      <c r="M14" s="8" t="s">
        <v>11</v>
      </c>
      <c r="N14" s="26" t="s">
        <v>50</v>
      </c>
      <c r="O14" s="8" t="s">
        <v>50</v>
      </c>
      <c r="P14" s="8" t="s">
        <v>184</v>
      </c>
      <c r="Q14" s="8" t="s">
        <v>185</v>
      </c>
      <c r="R14" s="26" t="s">
        <v>179</v>
      </c>
      <c r="S14" s="47" t="s">
        <v>186</v>
      </c>
      <c r="T14" s="45" t="str">
        <f aca="true">IF($H14="","TBD",IF($J14="Completed","Closed",$H14-TODAY()))</f>
        <v>TBD</v>
      </c>
      <c r="U14" s="45" t="str">
        <f aca="true">IF($J14="Completed","COMPLETE",IF(AND($H14&lt;&gt;"",$H14&lt;TODAY()),"OVERDUE",IF($J14="Blocked","BLOCKED",IF(ISNUMBER(SEARCH("Power availability",$P14)),"PENDING POWER AVAILABILITY",IF(IFERROR(IF($F14="—",FALSE(),INDEX($J:$J,MATCH($F14,$B:$B,0))&lt;&gt;"Completed"),FALSE()),"PENDING PREDECESSOR",IF($J14="At Risk","AT RISK",IF(OR($J14="Pending Approval",$J14="Pending Material"),UPPER($J14),IF($J14="In Progress","IN PROGRESS",IF($J14="Ready to Start","READY TO START","ON PLAN")))))))))</f>
        <v>PENDING PREDECESSOR</v>
      </c>
    </row>
    <row r="15" customFormat="false" ht="15" hidden="false" customHeight="false" outlineLevel="0" collapsed="false">
      <c r="A15" s="29" t="n">
        <v>6</v>
      </c>
      <c r="B15" s="29" t="s">
        <v>187</v>
      </c>
      <c r="C15" s="48" t="s">
        <v>159</v>
      </c>
      <c r="D15" s="49" t="s">
        <v>188</v>
      </c>
      <c r="E15" s="48" t="s">
        <v>161</v>
      </c>
      <c r="F15" s="29" t="s">
        <v>176</v>
      </c>
      <c r="G15" s="44"/>
      <c r="H15" s="44"/>
      <c r="I15" s="51" t="str">
        <f aca="false">IF(OR($G15="",$H15=""),"TBD",$H15-$G15+1)</f>
        <v>TBD</v>
      </c>
      <c r="J15" s="29" t="s">
        <v>51</v>
      </c>
      <c r="K15" s="46" t="n">
        <v>0</v>
      </c>
      <c r="L15" s="48" t="s">
        <v>50</v>
      </c>
      <c r="M15" s="48" t="s">
        <v>189</v>
      </c>
      <c r="N15" s="29" t="s">
        <v>50</v>
      </c>
      <c r="O15" s="48" t="s">
        <v>50</v>
      </c>
      <c r="P15" s="48" t="s">
        <v>190</v>
      </c>
      <c r="Q15" s="48" t="s">
        <v>191</v>
      </c>
      <c r="R15" s="29" t="s">
        <v>164</v>
      </c>
      <c r="S15" s="55" t="s">
        <v>192</v>
      </c>
      <c r="T15" s="51" t="str">
        <f aca="true">IF($H15="","TBD",IF($J15="Completed","Closed",$H15-TODAY()))</f>
        <v>TBD</v>
      </c>
      <c r="U15" s="54" t="str">
        <f aca="true">IF($J15="Completed","COMPLETE",IF(AND($H15&lt;&gt;"",$H15&lt;TODAY()),"OVERDUE",IF($J15="Blocked","BLOCKED",IF(ISNUMBER(SEARCH("Power availability",$P15)),"PENDING POWER AVAILABILITY",IF(IFERROR(IF($F15="—",FALSE(),INDEX($J:$J,MATCH($F15,$B:$B,0))&lt;&gt;"Completed"),FALSE()),"PENDING PREDECESSOR",IF($J15="At Risk","AT RISK",IF(OR($J15="Pending Approval",$J15="Pending Material"),UPPER($J15),IF($J15="In Progress","IN PROGRESS",IF($J15="Ready to Start","READY TO START","ON PLAN")))))))))</f>
        <v>PENDING PREDECESSOR</v>
      </c>
    </row>
    <row r="16" customFormat="false" ht="15" hidden="false" customHeight="false" outlineLevel="0" collapsed="false">
      <c r="A16" s="26" t="n">
        <v>7</v>
      </c>
      <c r="B16" s="26" t="s">
        <v>193</v>
      </c>
      <c r="C16" s="8" t="s">
        <v>159</v>
      </c>
      <c r="D16" s="43" t="s">
        <v>194</v>
      </c>
      <c r="E16" s="8" t="s">
        <v>161</v>
      </c>
      <c r="F16" s="26" t="s">
        <v>187</v>
      </c>
      <c r="G16" s="44"/>
      <c r="H16" s="44"/>
      <c r="I16" s="45" t="str">
        <f aca="false">IF(OR($G16="",$H16=""),"TBD",$H16-$G16+1)</f>
        <v>TBD</v>
      </c>
      <c r="J16" s="26" t="s">
        <v>51</v>
      </c>
      <c r="K16" s="46" t="n">
        <v>0</v>
      </c>
      <c r="L16" s="8" t="s">
        <v>12</v>
      </c>
      <c r="M16" s="8" t="s">
        <v>11</v>
      </c>
      <c r="N16" s="26" t="s">
        <v>50</v>
      </c>
      <c r="O16" s="8" t="s">
        <v>50</v>
      </c>
      <c r="P16" s="8" t="s">
        <v>195</v>
      </c>
      <c r="Q16" s="8" t="s">
        <v>162</v>
      </c>
      <c r="R16" s="26" t="s">
        <v>164</v>
      </c>
      <c r="S16" s="47" t="s">
        <v>196</v>
      </c>
      <c r="T16" s="45" t="str">
        <f aca="true">IF($H16="","TBD",IF($J16="Completed","Closed",$H16-TODAY()))</f>
        <v>TBD</v>
      </c>
      <c r="U16" s="45" t="str">
        <f aca="true">IF($J16="Completed","COMPLETE",IF(AND($H16&lt;&gt;"",$H16&lt;TODAY()),"OVERDUE",IF($J16="Blocked","BLOCKED",IF(ISNUMBER(SEARCH("Power availability",$P16)),"PENDING POWER AVAILABILITY",IF(IFERROR(IF($F16="—",FALSE(),INDEX($J:$J,MATCH($F16,$B:$B,0))&lt;&gt;"Completed"),FALSE()),"PENDING PREDECESSOR",IF($J16="At Risk","AT RISK",IF(OR($J16="Pending Approval",$J16="Pending Material"),UPPER($J16),IF($J16="In Progress","IN PROGRESS",IF($J16="Ready to Start","READY TO START","ON PLAN")))))))))</f>
        <v>PENDING PREDECESSOR</v>
      </c>
    </row>
    <row r="17" customFormat="false" ht="15" hidden="false" customHeight="false" outlineLevel="0" collapsed="false">
      <c r="A17" s="29" t="n">
        <v>8</v>
      </c>
      <c r="B17" s="29" t="s">
        <v>197</v>
      </c>
      <c r="C17" s="48" t="s">
        <v>159</v>
      </c>
      <c r="D17" s="49" t="s">
        <v>198</v>
      </c>
      <c r="E17" s="48" t="s">
        <v>161</v>
      </c>
      <c r="F17" s="29" t="s">
        <v>193</v>
      </c>
      <c r="G17" s="44"/>
      <c r="H17" s="44"/>
      <c r="I17" s="51" t="str">
        <f aca="false">IF(OR($G17="",$H17=""),"TBD",$H17-$G17+1)</f>
        <v>TBD</v>
      </c>
      <c r="J17" s="29" t="s">
        <v>51</v>
      </c>
      <c r="K17" s="46" t="n">
        <v>0</v>
      </c>
      <c r="L17" s="48" t="s">
        <v>50</v>
      </c>
      <c r="M17" s="48" t="s">
        <v>199</v>
      </c>
      <c r="N17" s="29" t="s">
        <v>50</v>
      </c>
      <c r="O17" s="48" t="s">
        <v>50</v>
      </c>
      <c r="P17" s="48" t="s">
        <v>200</v>
      </c>
      <c r="Q17" s="48" t="s">
        <v>162</v>
      </c>
      <c r="R17" s="29" t="s">
        <v>164</v>
      </c>
      <c r="S17" s="55" t="s">
        <v>201</v>
      </c>
      <c r="T17" s="51" t="str">
        <f aca="true">IF($H17="","TBD",IF($J17="Completed","Closed",$H17-TODAY()))</f>
        <v>TBD</v>
      </c>
      <c r="U17" s="54" t="str">
        <f aca="true">IF($J17="Completed","COMPLETE",IF(AND($H17&lt;&gt;"",$H17&lt;TODAY()),"OVERDUE",IF($J17="Blocked","BLOCKED",IF(ISNUMBER(SEARCH("Power availability",$P17)),"PENDING POWER AVAILABILITY",IF(IFERROR(IF($F17="—",FALSE(),INDEX($J:$J,MATCH($F17,$B:$B,0))&lt;&gt;"Completed"),FALSE()),"PENDING PREDECESSOR",IF($J17="At Risk","AT RISK",IF(OR($J17="Pending Approval",$J17="Pending Material"),UPPER($J17),IF($J17="In Progress","IN PROGRESS",IF($J17="Ready to Start","READY TO START","ON PLAN")))))))))</f>
        <v>PENDING PREDECESSOR</v>
      </c>
    </row>
    <row r="18" customFormat="false" ht="19.5" hidden="false" customHeight="true" outlineLevel="0" collapsed="false">
      <c r="A18" s="42" t="s">
        <v>202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customFormat="false" ht="19.4" hidden="false" customHeight="false" outlineLevel="0" collapsed="false">
      <c r="A19" s="26" t="n">
        <v>9</v>
      </c>
      <c r="B19" s="26" t="s">
        <v>203</v>
      </c>
      <c r="C19" s="8" t="s">
        <v>204</v>
      </c>
      <c r="D19" s="56" t="s">
        <v>59</v>
      </c>
      <c r="E19" s="8" t="s">
        <v>205</v>
      </c>
      <c r="F19" s="26" t="s">
        <v>162</v>
      </c>
      <c r="G19" s="44"/>
      <c r="H19" s="44"/>
      <c r="I19" s="45" t="str">
        <f aca="false">IF(OR($G19="",$H19=""),"TBD",$H19-$G19+1)</f>
        <v>TBD</v>
      </c>
      <c r="J19" s="26" t="s">
        <v>103</v>
      </c>
      <c r="K19" s="46" t="n">
        <v>0</v>
      </c>
      <c r="L19" s="8" t="s">
        <v>50</v>
      </c>
      <c r="M19" s="8" t="s">
        <v>206</v>
      </c>
      <c r="N19" s="26" t="s">
        <v>50</v>
      </c>
      <c r="O19" s="8" t="s">
        <v>50</v>
      </c>
      <c r="P19" s="8" t="s">
        <v>207</v>
      </c>
      <c r="Q19" s="8" t="s">
        <v>208</v>
      </c>
      <c r="R19" s="26" t="s">
        <v>164</v>
      </c>
      <c r="S19" s="57" t="s">
        <v>209</v>
      </c>
      <c r="T19" s="45" t="str">
        <f aca="true">IF($H19="","TBD",IF($J19="Completed","Closed",$H19-TODAY()))</f>
        <v>TBD</v>
      </c>
      <c r="U19" s="45" t="str">
        <f aca="true">IF($J19="Completed","COMPLETE",IF(AND($H19&lt;&gt;"",$H19&lt;TODAY()),"OVERDUE",IF($J19="Blocked","BLOCKED",IF(ISNUMBER(SEARCH("Power availability",$P19)),"PENDING POWER AVAILABILITY",IF(IFERROR(IF($F19="—",FALSE(),INDEX($J:$J,MATCH($F19,$B:$B,0))&lt;&gt;"Completed"),FALSE()),"PENDING PREDECESSOR",IF($J19="At Risk","AT RISK",IF(OR($J19="Pending Approval",$J19="Pending Material"),UPPER($J19),IF($J19="In Progress","IN PROGRESS",IF($J19="Ready to Start","READY TO START","ON PLAN")))))))))</f>
        <v>IN PROGRESS</v>
      </c>
    </row>
    <row r="20" customFormat="false" ht="22.35" hidden="false" customHeight="false" outlineLevel="0" collapsed="false">
      <c r="A20" s="29" t="n">
        <v>10</v>
      </c>
      <c r="B20" s="29" t="s">
        <v>210</v>
      </c>
      <c r="C20" s="48" t="s">
        <v>204</v>
      </c>
      <c r="D20" s="23" t="s">
        <v>211</v>
      </c>
      <c r="E20" s="48" t="s">
        <v>205</v>
      </c>
      <c r="F20" s="29" t="s">
        <v>203</v>
      </c>
      <c r="G20" s="44"/>
      <c r="H20" s="44"/>
      <c r="I20" s="51" t="str">
        <f aca="false">IF(OR($G20="",$H20=""),"TBD",$H20-$G20+1)</f>
        <v>TBD</v>
      </c>
      <c r="J20" s="29" t="s">
        <v>58</v>
      </c>
      <c r="K20" s="46" t="n">
        <v>0</v>
      </c>
      <c r="L20" s="48" t="s">
        <v>50</v>
      </c>
      <c r="M20" s="48" t="s">
        <v>212</v>
      </c>
      <c r="N20" s="29" t="s">
        <v>50</v>
      </c>
      <c r="O20" s="48" t="s">
        <v>50</v>
      </c>
      <c r="P20" s="58" t="s">
        <v>213</v>
      </c>
      <c r="Q20" s="58" t="s">
        <v>214</v>
      </c>
      <c r="R20" s="29" t="s">
        <v>179</v>
      </c>
      <c r="S20" s="53" t="s">
        <v>215</v>
      </c>
      <c r="T20" s="51" t="str">
        <f aca="true">IF($H20="","TBD",IF($J20="Completed","Closed",$H20-TODAY()))</f>
        <v>TBD</v>
      </c>
      <c r="U20" s="54" t="str">
        <f aca="true">IF($J20="Completed","COMPLETE",IF(AND($H20&lt;&gt;"",$H20&lt;TODAY()),"OVERDUE",IF($J20="Blocked","BLOCKED",IF(ISNUMBER(SEARCH("Power availability",$P20)),"PENDING POWER AVAILABILITY",IF(IFERROR(IF($F20="—",FALSE(),INDEX($J:$J,MATCH($F20,$B:$B,0))&lt;&gt;"Completed"),FALSE()),"PENDING PREDECESSOR",IF($J20="At Risk","AT RISK",IF(OR($J20="Pending Approval",$J20="Pending Material"),UPPER($J20),IF($J20="In Progress","IN PROGRESS",IF($J20="Ready to Start","READY TO START","ON PLAN")))))))))</f>
        <v>BLOCKED</v>
      </c>
    </row>
    <row r="21" customFormat="false" ht="15" hidden="false" customHeight="false" outlineLevel="0" collapsed="false">
      <c r="A21" s="26" t="n">
        <v>11</v>
      </c>
      <c r="B21" s="26" t="s">
        <v>216</v>
      </c>
      <c r="C21" s="8" t="s">
        <v>204</v>
      </c>
      <c r="D21" s="43" t="s">
        <v>217</v>
      </c>
      <c r="E21" s="8" t="s">
        <v>161</v>
      </c>
      <c r="F21" s="26" t="s">
        <v>197</v>
      </c>
      <c r="G21" s="44"/>
      <c r="H21" s="44"/>
      <c r="I21" s="45" t="str">
        <f aca="false">IF(OR($G21="",$H21=""),"TBD",$H21-$G21+1)</f>
        <v>TBD</v>
      </c>
      <c r="J21" s="26" t="s">
        <v>51</v>
      </c>
      <c r="K21" s="46" t="n">
        <v>0</v>
      </c>
      <c r="L21" s="8" t="s">
        <v>50</v>
      </c>
      <c r="M21" s="8" t="s">
        <v>189</v>
      </c>
      <c r="N21" s="26" t="s">
        <v>50</v>
      </c>
      <c r="O21" s="8" t="s">
        <v>50</v>
      </c>
      <c r="P21" s="8" t="s">
        <v>218</v>
      </c>
      <c r="Q21" s="8" t="s">
        <v>162</v>
      </c>
      <c r="R21" s="26" t="s">
        <v>164</v>
      </c>
      <c r="S21" s="47" t="s">
        <v>219</v>
      </c>
      <c r="T21" s="45" t="str">
        <f aca="true">IF($H21="","TBD",IF($J21="Completed","Closed",$H21-TODAY()))</f>
        <v>TBD</v>
      </c>
      <c r="U21" s="45" t="str">
        <f aca="true">IF($J21="Completed","COMPLETE",IF(AND($H21&lt;&gt;"",$H21&lt;TODAY()),"OVERDUE",IF($J21="Blocked","BLOCKED",IF(ISNUMBER(SEARCH("Power availability",$P21)),"PENDING POWER AVAILABILITY",IF(IFERROR(IF($F21="—",FALSE(),INDEX($J:$J,MATCH($F21,$B:$B,0))&lt;&gt;"Completed"),FALSE()),"PENDING PREDECESSOR",IF($J21="At Risk","AT RISK",IF(OR($J21="Pending Approval",$J21="Pending Material"),UPPER($J21),IF($J21="In Progress","IN PROGRESS",IF($J21="Ready to Start","READY TO START","ON PLAN")))))))))</f>
        <v>PENDING PREDECESSOR</v>
      </c>
    </row>
    <row r="22" customFormat="false" ht="19.4" hidden="false" customHeight="false" outlineLevel="0" collapsed="false">
      <c r="A22" s="29" t="n">
        <v>12</v>
      </c>
      <c r="B22" s="29" t="s">
        <v>220</v>
      </c>
      <c r="C22" s="48" t="s">
        <v>204</v>
      </c>
      <c r="D22" s="56" t="s">
        <v>221</v>
      </c>
      <c r="E22" s="48" t="s">
        <v>161</v>
      </c>
      <c r="F22" s="29" t="s">
        <v>216</v>
      </c>
      <c r="G22" s="44"/>
      <c r="H22" s="44"/>
      <c r="I22" s="51" t="str">
        <f aca="false">IF(OR($G22="",$H22=""),"TBD",$H22-$G22+1)</f>
        <v>TBD</v>
      </c>
      <c r="J22" s="29" t="s">
        <v>51</v>
      </c>
      <c r="K22" s="46" t="n">
        <v>0</v>
      </c>
      <c r="L22" s="48" t="s">
        <v>50</v>
      </c>
      <c r="M22" s="48" t="s">
        <v>222</v>
      </c>
      <c r="N22" s="29" t="s">
        <v>50</v>
      </c>
      <c r="O22" s="48" t="s">
        <v>50</v>
      </c>
      <c r="P22" s="48" t="s">
        <v>223</v>
      </c>
      <c r="Q22" s="48" t="s">
        <v>224</v>
      </c>
      <c r="R22" s="29" t="s">
        <v>164</v>
      </c>
      <c r="S22" s="53" t="s">
        <v>225</v>
      </c>
      <c r="T22" s="51" t="str">
        <f aca="true">IF($H22="","TBD",IF($J22="Completed","Closed",$H22-TODAY()))</f>
        <v>TBD</v>
      </c>
      <c r="U22" s="54" t="str">
        <f aca="true">IF($J22="Completed","COMPLETE",IF(AND($H22&lt;&gt;"",$H22&lt;TODAY()),"OVERDUE",IF($J22="Blocked","BLOCKED",IF(ISNUMBER(SEARCH("Power availability",$P22)),"PENDING POWER AVAILABILITY",IF(IFERROR(IF($F22="—",FALSE(),INDEX($J:$J,MATCH($F22,$B:$B,0))&lt;&gt;"Completed"),FALSE()),"PENDING PREDECESSOR",IF($J22="At Risk","AT RISK",IF(OR($J22="Pending Approval",$J22="Pending Material"),UPPER($J22),IF($J22="In Progress","IN PROGRESS",IF($J22="Ready to Start","READY TO START","ON PLAN")))))))))</f>
        <v>PENDING PREDECESSOR</v>
      </c>
    </row>
    <row r="23" customFormat="false" ht="15" hidden="false" customHeight="false" outlineLevel="0" collapsed="false">
      <c r="A23" s="26" t="n">
        <v>13</v>
      </c>
      <c r="B23" s="26" t="s">
        <v>226</v>
      </c>
      <c r="C23" s="8" t="s">
        <v>204</v>
      </c>
      <c r="D23" s="56" t="s">
        <v>227</v>
      </c>
      <c r="E23" s="8" t="s">
        <v>161</v>
      </c>
      <c r="F23" s="26" t="s">
        <v>220</v>
      </c>
      <c r="G23" s="44"/>
      <c r="H23" s="44"/>
      <c r="I23" s="45" t="str">
        <f aca="false">IF(OR($G23="",$H23=""),"TBD",$H23-$G23+1)</f>
        <v>TBD</v>
      </c>
      <c r="J23" s="26" t="s">
        <v>51</v>
      </c>
      <c r="K23" s="46" t="n">
        <v>0</v>
      </c>
      <c r="L23" s="8" t="s">
        <v>50</v>
      </c>
      <c r="M23" s="8" t="s">
        <v>228</v>
      </c>
      <c r="N23" s="26" t="s">
        <v>50</v>
      </c>
      <c r="O23" s="8" t="s">
        <v>50</v>
      </c>
      <c r="P23" s="8" t="s">
        <v>229</v>
      </c>
      <c r="Q23" s="8" t="s">
        <v>230</v>
      </c>
      <c r="R23" s="26" t="s">
        <v>179</v>
      </c>
      <c r="S23" s="47" t="s">
        <v>231</v>
      </c>
      <c r="T23" s="45" t="str">
        <f aca="true">IF($H23="","TBD",IF($J23="Completed","Closed",$H23-TODAY()))</f>
        <v>TBD</v>
      </c>
      <c r="U23" s="45" t="str">
        <f aca="true">IF($J23="Completed","COMPLETE",IF(AND($H23&lt;&gt;"",$H23&lt;TODAY()),"OVERDUE",IF($J23="Blocked","BLOCKED",IF(ISNUMBER(SEARCH("Power availability",$P23)),"PENDING POWER AVAILABILITY",IF(IFERROR(IF($F23="—",FALSE(),INDEX($J:$J,MATCH($F23,$B:$B,0))&lt;&gt;"Completed"),FALSE()),"PENDING PREDECESSOR",IF($J23="At Risk","AT RISK",IF(OR($J23="Pending Approval",$J23="Pending Material"),UPPER($J23),IF($J23="In Progress","IN PROGRESS",IF($J23="Ready to Start","READY TO START","ON PLAN")))))))))</f>
        <v>PENDING PREDECESSOR</v>
      </c>
    </row>
    <row r="24" customFormat="false" ht="22.35" hidden="false" customHeight="false" outlineLevel="0" collapsed="false">
      <c r="A24" s="29" t="n">
        <v>14</v>
      </c>
      <c r="B24" s="29" t="s">
        <v>232</v>
      </c>
      <c r="C24" s="48" t="s">
        <v>204</v>
      </c>
      <c r="D24" s="49" t="s">
        <v>233</v>
      </c>
      <c r="E24" s="48" t="s">
        <v>161</v>
      </c>
      <c r="F24" s="29" t="s">
        <v>193</v>
      </c>
      <c r="G24" s="44"/>
      <c r="H24" s="44"/>
      <c r="I24" s="51" t="str">
        <f aca="false">IF(OR($G24="",$H24=""),"TBD",$H24-$G24+1)</f>
        <v>TBD</v>
      </c>
      <c r="J24" s="29" t="s">
        <v>51</v>
      </c>
      <c r="K24" s="46" t="n">
        <v>0</v>
      </c>
      <c r="L24" s="48" t="s">
        <v>50</v>
      </c>
      <c r="M24" s="48" t="s">
        <v>212</v>
      </c>
      <c r="N24" s="29" t="s">
        <v>50</v>
      </c>
      <c r="O24" s="48" t="s">
        <v>50</v>
      </c>
      <c r="P24" s="48" t="s">
        <v>200</v>
      </c>
      <c r="Q24" s="48" t="s">
        <v>234</v>
      </c>
      <c r="R24" s="29" t="s">
        <v>164</v>
      </c>
      <c r="S24" s="55" t="s">
        <v>235</v>
      </c>
      <c r="T24" s="51" t="str">
        <f aca="true">IF($H24="","TBD",IF($J24="Completed","Closed",$H24-TODAY()))</f>
        <v>TBD</v>
      </c>
      <c r="U24" s="54" t="str">
        <f aca="true">IF($J24="Completed","COMPLETE",IF(AND($H24&lt;&gt;"",$H24&lt;TODAY()),"OVERDUE",IF($J24="Blocked","BLOCKED",IF(ISNUMBER(SEARCH("Power availability",$P24)),"PENDING POWER AVAILABILITY",IF(IFERROR(IF($F24="—",FALSE(),INDEX($J:$J,MATCH($F24,$B:$B,0))&lt;&gt;"Completed"),FALSE()),"PENDING PREDECESSOR",IF($J24="At Risk","AT RISK",IF(OR($J24="Pending Approval",$J24="Pending Material"),UPPER($J24),IF($J24="In Progress","IN PROGRESS",IF($J24="Ready to Start","READY TO START","ON PLAN")))))))))</f>
        <v>PENDING PREDECESSOR</v>
      </c>
    </row>
    <row r="25" customFormat="false" ht="15" hidden="false" customHeight="false" outlineLevel="0" collapsed="false">
      <c r="A25" s="26" t="n">
        <v>15</v>
      </c>
      <c r="B25" s="26" t="s">
        <v>236</v>
      </c>
      <c r="C25" s="8" t="s">
        <v>204</v>
      </c>
      <c r="D25" s="43" t="s">
        <v>237</v>
      </c>
      <c r="E25" s="8" t="s">
        <v>161</v>
      </c>
      <c r="F25" s="26" t="s">
        <v>158</v>
      </c>
      <c r="G25" s="44"/>
      <c r="H25" s="44"/>
      <c r="I25" s="45" t="str">
        <f aca="false">IF(OR($G25="",$H25=""),"TBD",$H25-$G25+1)</f>
        <v>TBD</v>
      </c>
      <c r="J25" s="26" t="s">
        <v>51</v>
      </c>
      <c r="K25" s="46" t="n">
        <v>0</v>
      </c>
      <c r="L25" s="8" t="s">
        <v>50</v>
      </c>
      <c r="M25" s="8" t="s">
        <v>238</v>
      </c>
      <c r="N25" s="26" t="s">
        <v>50</v>
      </c>
      <c r="O25" s="8" t="s">
        <v>50</v>
      </c>
      <c r="P25" s="8" t="s">
        <v>239</v>
      </c>
      <c r="Q25" s="8" t="s">
        <v>162</v>
      </c>
      <c r="R25" s="26" t="s">
        <v>179</v>
      </c>
      <c r="S25" s="47" t="s">
        <v>240</v>
      </c>
      <c r="T25" s="45" t="str">
        <f aca="true">IF($H25="","TBD",IF($J25="Completed","Closed",$H25-TODAY()))</f>
        <v>TBD</v>
      </c>
      <c r="U25" s="45" t="str">
        <f aca="true">IF($J25="Completed","COMPLETE",IF(AND($H25&lt;&gt;"",$H25&lt;TODAY()),"OVERDUE",IF($J25="Blocked","BLOCKED",IF(ISNUMBER(SEARCH("Power availability",$P25)),"PENDING POWER AVAILABILITY",IF(IFERROR(IF($F25="—",FALSE(),INDEX($J:$J,MATCH($F25,$B:$B,0))&lt;&gt;"Completed"),FALSE()),"PENDING PREDECESSOR",IF($J25="At Risk","AT RISK",IF(OR($J25="Pending Approval",$J25="Pending Material"),UPPER($J25),IF($J25="In Progress","IN PROGRESS",IF($J25="Ready to Start","READY TO START","ON PLAN")))))))))</f>
        <v>PENDING PREDECESSOR</v>
      </c>
    </row>
    <row r="26" customFormat="false" ht="19.5" hidden="false" customHeight="true" outlineLevel="0" collapsed="false">
      <c r="A26" s="42" t="s">
        <v>241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 customFormat="false" ht="22.35" hidden="false" customHeight="false" outlineLevel="0" collapsed="false">
      <c r="A27" s="26" t="n">
        <v>16</v>
      </c>
      <c r="B27" s="26" t="s">
        <v>242</v>
      </c>
      <c r="C27" s="8" t="s">
        <v>243</v>
      </c>
      <c r="D27" s="43" t="s">
        <v>244</v>
      </c>
      <c r="E27" s="8" t="s">
        <v>161</v>
      </c>
      <c r="F27" s="26" t="s">
        <v>176</v>
      </c>
      <c r="G27" s="44"/>
      <c r="H27" s="44"/>
      <c r="I27" s="45" t="str">
        <f aca="false">IF(OR($G27="",$H27=""),"TBD",$H27-$G27+1)</f>
        <v>TBD</v>
      </c>
      <c r="J27" s="26" t="s">
        <v>51</v>
      </c>
      <c r="K27" s="46" t="n">
        <v>0</v>
      </c>
      <c r="L27" s="8" t="s">
        <v>50</v>
      </c>
      <c r="M27" s="8" t="s">
        <v>245</v>
      </c>
      <c r="N27" s="26" t="s">
        <v>50</v>
      </c>
      <c r="O27" s="8" t="s">
        <v>50</v>
      </c>
      <c r="P27" s="8" t="s">
        <v>190</v>
      </c>
      <c r="Q27" s="8" t="s">
        <v>162</v>
      </c>
      <c r="R27" s="26" t="s">
        <v>164</v>
      </c>
      <c r="S27" s="47" t="s">
        <v>246</v>
      </c>
      <c r="T27" s="45" t="str">
        <f aca="true">IF($H27="","TBD",IF($J27="Completed","Closed",$H27-TODAY()))</f>
        <v>TBD</v>
      </c>
      <c r="U27" s="45" t="str">
        <f aca="true">IF($J27="Completed","COMPLETE",IF(AND($H27&lt;&gt;"",$H27&lt;TODAY()),"OVERDUE",IF($J27="Blocked","BLOCKED",IF(ISNUMBER(SEARCH("Power availability",$P27)),"PENDING POWER AVAILABILITY",IF(IFERROR(IF($F27="—",FALSE(),INDEX($J:$J,MATCH($F27,$B:$B,0))&lt;&gt;"Completed"),FALSE()),"PENDING PREDECESSOR",IF($J27="At Risk","AT RISK",IF(OR($J27="Pending Approval",$J27="Pending Material"),UPPER($J27),IF($J27="In Progress","IN PROGRESS",IF($J27="Ready to Start","READY TO START","ON PLAN")))))))))</f>
        <v>PENDING PREDECESSOR</v>
      </c>
    </row>
    <row r="28" customFormat="false" ht="22.35" hidden="false" customHeight="false" outlineLevel="0" collapsed="false">
      <c r="A28" s="29" t="n">
        <v>17</v>
      </c>
      <c r="B28" s="29" t="s">
        <v>247</v>
      </c>
      <c r="C28" s="48" t="s">
        <v>243</v>
      </c>
      <c r="D28" s="49" t="s">
        <v>248</v>
      </c>
      <c r="E28" s="48" t="s">
        <v>161</v>
      </c>
      <c r="F28" s="29" t="s">
        <v>176</v>
      </c>
      <c r="G28" s="44"/>
      <c r="H28" s="44"/>
      <c r="I28" s="51" t="str">
        <f aca="false">IF(OR($G28="",$H28=""),"TBD",$H28-$G28+1)</f>
        <v>TBD</v>
      </c>
      <c r="J28" s="29" t="s">
        <v>51</v>
      </c>
      <c r="K28" s="46" t="n">
        <v>0</v>
      </c>
      <c r="L28" s="48" t="s">
        <v>50</v>
      </c>
      <c r="M28" s="48" t="s">
        <v>249</v>
      </c>
      <c r="N28" s="29" t="s">
        <v>50</v>
      </c>
      <c r="O28" s="48" t="s">
        <v>50</v>
      </c>
      <c r="P28" s="48" t="s">
        <v>190</v>
      </c>
      <c r="Q28" s="48" t="s">
        <v>162</v>
      </c>
      <c r="R28" s="29" t="s">
        <v>164</v>
      </c>
      <c r="S28" s="55" t="s">
        <v>250</v>
      </c>
      <c r="T28" s="51" t="str">
        <f aca="true">IF($H28="","TBD",IF($J28="Completed","Closed",$H28-TODAY()))</f>
        <v>TBD</v>
      </c>
      <c r="U28" s="54" t="str">
        <f aca="true">IF($J28="Completed","COMPLETE",IF(AND($H28&lt;&gt;"",$H28&lt;TODAY()),"OVERDUE",IF($J28="Blocked","BLOCKED",IF(ISNUMBER(SEARCH("Power availability",$P28)),"PENDING POWER AVAILABILITY",IF(IFERROR(IF($F28="—",FALSE(),INDEX($J:$J,MATCH($F28,$B:$B,0))&lt;&gt;"Completed"),FALSE()),"PENDING PREDECESSOR",IF($J28="At Risk","AT RISK",IF(OR($J28="Pending Approval",$J28="Pending Material"),UPPER($J28),IF($J28="In Progress","IN PROGRESS",IF($J28="Ready to Start","READY TO START","ON PLAN")))))))))</f>
        <v>PENDING PREDECESSOR</v>
      </c>
    </row>
    <row r="29" customFormat="false" ht="22.35" hidden="false" customHeight="false" outlineLevel="0" collapsed="false">
      <c r="A29" s="26" t="n">
        <v>18</v>
      </c>
      <c r="B29" s="26" t="s">
        <v>251</v>
      </c>
      <c r="C29" s="8" t="s">
        <v>243</v>
      </c>
      <c r="D29" s="43" t="s">
        <v>252</v>
      </c>
      <c r="E29" s="8" t="s">
        <v>161</v>
      </c>
      <c r="F29" s="26" t="s">
        <v>242</v>
      </c>
      <c r="G29" s="44"/>
      <c r="H29" s="44"/>
      <c r="I29" s="45" t="str">
        <f aca="false">IF(OR($G29="",$H29=""),"TBD",$H29-$G29+1)</f>
        <v>TBD</v>
      </c>
      <c r="J29" s="26" t="s">
        <v>51</v>
      </c>
      <c r="K29" s="46" t="n">
        <v>0</v>
      </c>
      <c r="L29" s="8" t="s">
        <v>50</v>
      </c>
      <c r="M29" s="8" t="s">
        <v>253</v>
      </c>
      <c r="N29" s="26" t="s">
        <v>50</v>
      </c>
      <c r="O29" s="8" t="s">
        <v>50</v>
      </c>
      <c r="P29" s="8" t="s">
        <v>254</v>
      </c>
      <c r="Q29" s="8" t="s">
        <v>162</v>
      </c>
      <c r="R29" s="26" t="s">
        <v>164</v>
      </c>
      <c r="S29" s="47" t="s">
        <v>255</v>
      </c>
      <c r="T29" s="45" t="str">
        <f aca="true">IF($H29="","TBD",IF($J29="Completed","Closed",$H29-TODAY()))</f>
        <v>TBD</v>
      </c>
      <c r="U29" s="45" t="str">
        <f aca="true">IF($J29="Completed","COMPLETE",IF(AND($H29&lt;&gt;"",$H29&lt;TODAY()),"OVERDUE",IF($J29="Blocked","BLOCKED",IF(ISNUMBER(SEARCH("Power availability",$P29)),"PENDING POWER AVAILABILITY",IF(IFERROR(IF($F29="—",FALSE(),INDEX($J:$J,MATCH($F29,$B:$B,0))&lt;&gt;"Completed"),FALSE()),"PENDING PREDECESSOR",IF($J29="At Risk","AT RISK",IF(OR($J29="Pending Approval",$J29="Pending Material"),UPPER($J29),IF($J29="In Progress","IN PROGRESS",IF($J29="Ready to Start","READY TO START","ON PLAN")))))))))</f>
        <v>PENDING PREDECESSOR</v>
      </c>
    </row>
    <row r="30" customFormat="false" ht="22.35" hidden="false" customHeight="false" outlineLevel="0" collapsed="false">
      <c r="A30" s="29" t="n">
        <v>19</v>
      </c>
      <c r="B30" s="29" t="s">
        <v>256</v>
      </c>
      <c r="C30" s="48" t="s">
        <v>243</v>
      </c>
      <c r="D30" s="49" t="s">
        <v>257</v>
      </c>
      <c r="E30" s="48" t="s">
        <v>161</v>
      </c>
      <c r="F30" s="29" t="s">
        <v>251</v>
      </c>
      <c r="G30" s="44"/>
      <c r="H30" s="44"/>
      <c r="I30" s="51" t="str">
        <f aca="false">IF(OR($G30="",$H30=""),"TBD",$H30-$G30+1)</f>
        <v>TBD</v>
      </c>
      <c r="J30" s="29" t="s">
        <v>51</v>
      </c>
      <c r="K30" s="46" t="n">
        <v>0</v>
      </c>
      <c r="L30" s="48" t="s">
        <v>50</v>
      </c>
      <c r="M30" s="48" t="s">
        <v>253</v>
      </c>
      <c r="N30" s="29" t="s">
        <v>50</v>
      </c>
      <c r="O30" s="48" t="s">
        <v>50</v>
      </c>
      <c r="P30" s="48" t="s">
        <v>258</v>
      </c>
      <c r="Q30" s="48" t="s">
        <v>162</v>
      </c>
      <c r="R30" s="29" t="s">
        <v>164</v>
      </c>
      <c r="S30" s="55" t="s">
        <v>259</v>
      </c>
      <c r="T30" s="51" t="str">
        <f aca="true">IF($H30="","TBD",IF($J30="Completed","Closed",$H30-TODAY()))</f>
        <v>TBD</v>
      </c>
      <c r="U30" s="54" t="str">
        <f aca="true">IF($J30="Completed","COMPLETE",IF(AND($H30&lt;&gt;"",$H30&lt;TODAY()),"OVERDUE",IF($J30="Blocked","BLOCKED",IF(ISNUMBER(SEARCH("Power availability",$P30)),"PENDING POWER AVAILABILITY",IF(IFERROR(IF($F30="—",FALSE(),INDEX($J:$J,MATCH($F30,$B:$B,0))&lt;&gt;"Completed"),FALSE()),"PENDING PREDECESSOR",IF($J30="At Risk","AT RISK",IF(OR($J30="Pending Approval",$J30="Pending Material"),UPPER($J30),IF($J30="In Progress","IN PROGRESS",IF($J30="Ready to Start","READY TO START","ON PLAN")))))))))</f>
        <v>PENDING PREDECESSOR</v>
      </c>
    </row>
    <row r="31" customFormat="false" ht="22.35" hidden="false" customHeight="false" outlineLevel="0" collapsed="false">
      <c r="A31" s="26" t="n">
        <v>20</v>
      </c>
      <c r="B31" s="26" t="s">
        <v>260</v>
      </c>
      <c r="C31" s="8" t="s">
        <v>243</v>
      </c>
      <c r="D31" s="56" t="s">
        <v>261</v>
      </c>
      <c r="E31" s="8" t="s">
        <v>161</v>
      </c>
      <c r="F31" s="26" t="s">
        <v>256</v>
      </c>
      <c r="G31" s="44"/>
      <c r="H31" s="44"/>
      <c r="I31" s="45" t="str">
        <f aca="false">IF(OR($G31="",$H31=""),"TBD",$H31-$G31+1)</f>
        <v>TBD</v>
      </c>
      <c r="J31" s="26" t="s">
        <v>65</v>
      </c>
      <c r="K31" s="46" t="n">
        <v>0</v>
      </c>
      <c r="L31" s="8" t="s">
        <v>50</v>
      </c>
      <c r="M31" s="8" t="s">
        <v>262</v>
      </c>
      <c r="N31" s="26" t="s">
        <v>50</v>
      </c>
      <c r="O31" s="8" t="s">
        <v>50</v>
      </c>
      <c r="P31" s="8" t="s">
        <v>263</v>
      </c>
      <c r="Q31" s="8" t="s">
        <v>264</v>
      </c>
      <c r="R31" s="26" t="s">
        <v>179</v>
      </c>
      <c r="S31" s="47" t="s">
        <v>265</v>
      </c>
      <c r="T31" s="45" t="str">
        <f aca="true">IF($H31="","TBD",IF($J31="Completed","Closed",$H31-TODAY()))</f>
        <v>TBD</v>
      </c>
      <c r="U31" s="45" t="str">
        <f aca="true">IF($J31="Completed","COMPLETE",IF(AND($H31&lt;&gt;"",$H31&lt;TODAY()),"OVERDUE",IF($J31="Blocked","BLOCKED",IF(ISNUMBER(SEARCH("Power availability",$P31)),"PENDING POWER AVAILABILITY",IF(IFERROR(IF($F31="—",FALSE(),INDEX($J:$J,MATCH($F31,$B:$B,0))&lt;&gt;"Completed"),FALSE()),"PENDING PREDECESSOR",IF($J31="At Risk","AT RISK",IF(OR($J31="Pending Approval",$J31="Pending Material"),UPPER($J31),IF($J31="In Progress","IN PROGRESS",IF($J31="Ready to Start","READY TO START","ON PLAN")))))))))</f>
        <v>PENDING PREDECESSOR</v>
      </c>
    </row>
    <row r="32" customFormat="false" ht="22.35" hidden="false" customHeight="false" outlineLevel="0" collapsed="false">
      <c r="A32" s="29" t="n">
        <v>21</v>
      </c>
      <c r="B32" s="29" t="s">
        <v>266</v>
      </c>
      <c r="C32" s="48" t="s">
        <v>243</v>
      </c>
      <c r="D32" s="56" t="s">
        <v>267</v>
      </c>
      <c r="E32" s="48" t="s">
        <v>161</v>
      </c>
      <c r="F32" s="29" t="s">
        <v>260</v>
      </c>
      <c r="G32" s="44"/>
      <c r="H32" s="44"/>
      <c r="I32" s="51" t="str">
        <f aca="false">IF(OR($G32="",$H32=""),"TBD",$H32-$G32+1)</f>
        <v>TBD</v>
      </c>
      <c r="J32" s="29" t="s">
        <v>69</v>
      </c>
      <c r="K32" s="46" t="n">
        <v>0</v>
      </c>
      <c r="L32" s="48" t="s">
        <v>50</v>
      </c>
      <c r="M32" s="48" t="s">
        <v>222</v>
      </c>
      <c r="N32" s="29" t="s">
        <v>50</v>
      </c>
      <c r="O32" s="48" t="s">
        <v>50</v>
      </c>
      <c r="P32" s="48" t="s">
        <v>268</v>
      </c>
      <c r="Q32" s="48" t="s">
        <v>269</v>
      </c>
      <c r="R32" s="29" t="s">
        <v>179</v>
      </c>
      <c r="S32" s="55" t="s">
        <v>71</v>
      </c>
      <c r="T32" s="51" t="str">
        <f aca="true">IF($H32="","TBD",IF($J32="Completed","Closed",$H32-TODAY()))</f>
        <v>TBD</v>
      </c>
      <c r="U32" s="54" t="str">
        <f aca="true">IF($J32="Completed","COMPLETE",IF(AND($H32&lt;&gt;"",$H32&lt;TODAY()),"OVERDUE",IF($J32="Blocked","BLOCKED",IF(ISNUMBER(SEARCH("Power availability",$P32)),"PENDING POWER AVAILABILITY",IF(IFERROR(IF($F32="—",FALSE(),INDEX($J:$J,MATCH($F32,$B:$B,0))&lt;&gt;"Completed"),FALSE()),"PENDING PREDECESSOR",IF($J32="At Risk","AT RISK",IF(OR($J32="Pending Approval",$J32="Pending Material"),UPPER($J32),IF($J32="In Progress","IN PROGRESS",IF($J32="Ready to Start","READY TO START","ON PLAN")))))))))</f>
        <v>PENDING PREDECESSOR</v>
      </c>
    </row>
    <row r="33" customFormat="false" ht="22.35" hidden="false" customHeight="false" outlineLevel="0" collapsed="false">
      <c r="A33" s="26" t="n">
        <v>22</v>
      </c>
      <c r="B33" s="26" t="s">
        <v>270</v>
      </c>
      <c r="C33" s="8" t="s">
        <v>243</v>
      </c>
      <c r="D33" s="56" t="s">
        <v>271</v>
      </c>
      <c r="E33" s="8" t="s">
        <v>161</v>
      </c>
      <c r="F33" s="26" t="s">
        <v>266</v>
      </c>
      <c r="G33" s="44"/>
      <c r="H33" s="44"/>
      <c r="I33" s="45" t="str">
        <f aca="false">IF(OR($G33="",$H33=""),"TBD",$H33-$G33+1)</f>
        <v>TBD</v>
      </c>
      <c r="J33" s="26" t="s">
        <v>69</v>
      </c>
      <c r="K33" s="46" t="n">
        <v>0</v>
      </c>
      <c r="L33" s="8" t="s">
        <v>50</v>
      </c>
      <c r="M33" s="8" t="s">
        <v>222</v>
      </c>
      <c r="N33" s="26" t="s">
        <v>50</v>
      </c>
      <c r="O33" s="8" t="s">
        <v>50</v>
      </c>
      <c r="P33" s="8" t="s">
        <v>272</v>
      </c>
      <c r="Q33" s="8" t="s">
        <v>273</v>
      </c>
      <c r="R33" s="26" t="s">
        <v>164</v>
      </c>
      <c r="S33" s="47" t="s">
        <v>274</v>
      </c>
      <c r="T33" s="45" t="str">
        <f aca="true">IF($H33="","TBD",IF($J33="Completed","Closed",$H33-TODAY()))</f>
        <v>TBD</v>
      </c>
      <c r="U33" s="45" t="str">
        <f aca="true">IF($J33="Completed","COMPLETE",IF(AND($H33&lt;&gt;"",$H33&lt;TODAY()),"OVERDUE",IF($J33="Blocked","BLOCKED",IF(ISNUMBER(SEARCH("Power availability",$P33)),"PENDING POWER AVAILABILITY",IF(IFERROR(IF($F33="—",FALSE(),INDEX($J:$J,MATCH($F33,$B:$B,0))&lt;&gt;"Completed"),FALSE()),"PENDING PREDECESSOR",IF($J33="At Risk","AT RISK",IF(OR($J33="Pending Approval",$J33="Pending Material"),UPPER($J33),IF($J33="In Progress","IN PROGRESS",IF($J33="Ready to Start","READY TO START","ON PLAN")))))))))</f>
        <v>PENDING PREDECESSOR</v>
      </c>
    </row>
    <row r="34" customFormat="false" ht="19.5" hidden="false" customHeight="true" outlineLevel="0" collapsed="false">
      <c r="A34" s="42" t="s">
        <v>275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 customFormat="false" ht="15" hidden="false" customHeight="false" outlineLevel="0" collapsed="false">
      <c r="A35" s="26" t="n">
        <v>23</v>
      </c>
      <c r="B35" s="26" t="s">
        <v>276</v>
      </c>
      <c r="C35" s="8" t="s">
        <v>277</v>
      </c>
      <c r="D35" s="56" t="s">
        <v>278</v>
      </c>
      <c r="E35" s="8" t="s">
        <v>161</v>
      </c>
      <c r="F35" s="26" t="s">
        <v>270</v>
      </c>
      <c r="G35" s="44"/>
      <c r="H35" s="44"/>
      <c r="I35" s="45" t="str">
        <f aca="false">IF(OR($G35="",$H35=""),"TBD",$H35-$G35+1)</f>
        <v>TBD</v>
      </c>
      <c r="J35" s="26" t="s">
        <v>51</v>
      </c>
      <c r="K35" s="46" t="n">
        <v>0</v>
      </c>
      <c r="L35" s="8" t="s">
        <v>50</v>
      </c>
      <c r="M35" s="8" t="s">
        <v>253</v>
      </c>
      <c r="N35" s="26" t="s">
        <v>50</v>
      </c>
      <c r="O35" s="8" t="s">
        <v>50</v>
      </c>
      <c r="P35" s="8" t="s">
        <v>279</v>
      </c>
      <c r="Q35" s="8" t="s">
        <v>224</v>
      </c>
      <c r="R35" s="26" t="s">
        <v>164</v>
      </c>
      <c r="S35" s="47" t="s">
        <v>280</v>
      </c>
      <c r="T35" s="45" t="str">
        <f aca="true">IF($H35="","TBD",IF($J35="Completed","Closed",$H35-TODAY()))</f>
        <v>TBD</v>
      </c>
      <c r="U35" s="45" t="str">
        <f aca="true">IF($J35="Completed","COMPLETE",IF(AND($H35&lt;&gt;"",$H35&lt;TODAY()),"OVERDUE",IF($J35="Blocked","BLOCKED",IF(ISNUMBER(SEARCH("Power availability",$P35)),"PENDING POWER AVAILABILITY",IF(IFERROR(IF($F35="—",FALSE(),INDEX($J:$J,MATCH($F35,$B:$B,0))&lt;&gt;"Completed"),FALSE()),"PENDING PREDECESSOR",IF($J35="At Risk","AT RISK",IF(OR($J35="Pending Approval",$J35="Pending Material"),UPPER($J35),IF($J35="In Progress","IN PROGRESS",IF($J35="Ready to Start","READY TO START","ON PLAN")))))))))</f>
        <v>PENDING PREDECESSOR</v>
      </c>
    </row>
    <row r="36" customFormat="false" ht="15" hidden="false" customHeight="false" outlineLevel="0" collapsed="false">
      <c r="A36" s="29" t="n">
        <v>24</v>
      </c>
      <c r="B36" s="29" t="s">
        <v>281</v>
      </c>
      <c r="C36" s="48" t="s">
        <v>277</v>
      </c>
      <c r="D36" s="49" t="s">
        <v>282</v>
      </c>
      <c r="E36" s="48" t="s">
        <v>161</v>
      </c>
      <c r="F36" s="29" t="s">
        <v>276</v>
      </c>
      <c r="G36" s="44"/>
      <c r="H36" s="44"/>
      <c r="I36" s="51" t="str">
        <f aca="false">IF(OR($G36="",$H36=""),"TBD",$H36-$G36+1)</f>
        <v>TBD</v>
      </c>
      <c r="J36" s="29" t="s">
        <v>51</v>
      </c>
      <c r="K36" s="46" t="n">
        <v>0</v>
      </c>
      <c r="L36" s="48" t="s">
        <v>50</v>
      </c>
      <c r="M36" s="48" t="s">
        <v>249</v>
      </c>
      <c r="N36" s="29" t="s">
        <v>50</v>
      </c>
      <c r="O36" s="48" t="s">
        <v>50</v>
      </c>
      <c r="P36" s="48" t="s">
        <v>283</v>
      </c>
      <c r="Q36" s="48" t="s">
        <v>162</v>
      </c>
      <c r="R36" s="29" t="s">
        <v>164</v>
      </c>
      <c r="S36" s="55" t="s">
        <v>284</v>
      </c>
      <c r="T36" s="51" t="str">
        <f aca="true">IF($H36="","TBD",IF($J36="Completed","Closed",$H36-TODAY()))</f>
        <v>TBD</v>
      </c>
      <c r="U36" s="54" t="str">
        <f aca="true">IF($J36="Completed","COMPLETE",IF(AND($H36&lt;&gt;"",$H36&lt;TODAY()),"OVERDUE",IF($J36="Blocked","BLOCKED",IF(ISNUMBER(SEARCH("Power availability",$P36)),"PENDING POWER AVAILABILITY",IF(IFERROR(IF($F36="—",FALSE(),INDEX($J:$J,MATCH($F36,$B:$B,0))&lt;&gt;"Completed"),FALSE()),"PENDING PREDECESSOR",IF($J36="At Risk","AT RISK",IF(OR($J36="Pending Approval",$J36="Pending Material"),UPPER($J36),IF($J36="In Progress","IN PROGRESS",IF($J36="Ready to Start","READY TO START","ON PLAN")))))))))</f>
        <v>PENDING PREDECESSOR</v>
      </c>
    </row>
    <row r="37" customFormat="false" ht="15" hidden="false" customHeight="false" outlineLevel="0" collapsed="false">
      <c r="A37" s="26" t="n">
        <v>25</v>
      </c>
      <c r="B37" s="26" t="s">
        <v>285</v>
      </c>
      <c r="C37" s="8" t="s">
        <v>277</v>
      </c>
      <c r="D37" s="43" t="s">
        <v>286</v>
      </c>
      <c r="E37" s="8" t="s">
        <v>161</v>
      </c>
      <c r="F37" s="26" t="s">
        <v>276</v>
      </c>
      <c r="G37" s="44"/>
      <c r="H37" s="44"/>
      <c r="I37" s="45" t="str">
        <f aca="false">IF(OR($G37="",$H37=""),"TBD",$H37-$G37+1)</f>
        <v>TBD</v>
      </c>
      <c r="J37" s="26" t="s">
        <v>51</v>
      </c>
      <c r="K37" s="46" t="n">
        <v>0</v>
      </c>
      <c r="L37" s="8" t="s">
        <v>50</v>
      </c>
      <c r="M37" s="8" t="s">
        <v>249</v>
      </c>
      <c r="N37" s="26" t="s">
        <v>50</v>
      </c>
      <c r="O37" s="8" t="s">
        <v>50</v>
      </c>
      <c r="P37" s="8" t="s">
        <v>283</v>
      </c>
      <c r="Q37" s="8" t="s">
        <v>162</v>
      </c>
      <c r="R37" s="26" t="s">
        <v>164</v>
      </c>
      <c r="S37" s="47" t="s">
        <v>287</v>
      </c>
      <c r="T37" s="45" t="str">
        <f aca="true">IF($H37="","TBD",IF($J37="Completed","Closed",$H37-TODAY()))</f>
        <v>TBD</v>
      </c>
      <c r="U37" s="45" t="str">
        <f aca="true">IF($J37="Completed","COMPLETE",IF(AND($H37&lt;&gt;"",$H37&lt;TODAY()),"OVERDUE",IF($J37="Blocked","BLOCKED",IF(ISNUMBER(SEARCH("Power availability",$P37)),"PENDING POWER AVAILABILITY",IF(IFERROR(IF($F37="—",FALSE(),INDEX($J:$J,MATCH($F37,$B:$B,0))&lt;&gt;"Completed"),FALSE()),"PENDING PREDECESSOR",IF($J37="At Risk","AT RISK",IF(OR($J37="Pending Approval",$J37="Pending Material"),UPPER($J37),IF($J37="In Progress","IN PROGRESS",IF($J37="Ready to Start","READY TO START","ON PLAN")))))))))</f>
        <v>PENDING PREDECESSOR</v>
      </c>
    </row>
    <row r="38" customFormat="false" ht="15" hidden="false" customHeight="false" outlineLevel="0" collapsed="false">
      <c r="A38" s="29" t="n">
        <v>26</v>
      </c>
      <c r="B38" s="29" t="s">
        <v>288</v>
      </c>
      <c r="C38" s="48" t="s">
        <v>277</v>
      </c>
      <c r="D38" s="56" t="s">
        <v>289</v>
      </c>
      <c r="E38" s="48" t="s">
        <v>161</v>
      </c>
      <c r="F38" s="29" t="s">
        <v>270</v>
      </c>
      <c r="G38" s="44"/>
      <c r="H38" s="44"/>
      <c r="I38" s="51" t="str">
        <f aca="false">IF(OR($G38="",$H38=""),"TBD",$H38-$G38+1)</f>
        <v>TBD</v>
      </c>
      <c r="J38" s="29" t="s">
        <v>51</v>
      </c>
      <c r="K38" s="46" t="n">
        <v>0</v>
      </c>
      <c r="L38" s="48" t="s">
        <v>50</v>
      </c>
      <c r="M38" s="48" t="s">
        <v>245</v>
      </c>
      <c r="N38" s="29" t="s">
        <v>50</v>
      </c>
      <c r="O38" s="48" t="s">
        <v>50</v>
      </c>
      <c r="P38" s="48" t="s">
        <v>279</v>
      </c>
      <c r="Q38" s="48" t="s">
        <v>224</v>
      </c>
      <c r="R38" s="29" t="s">
        <v>164</v>
      </c>
      <c r="S38" s="55" t="s">
        <v>290</v>
      </c>
      <c r="T38" s="51" t="str">
        <f aca="true">IF($H38="","TBD",IF($J38="Completed","Closed",$H38-TODAY()))</f>
        <v>TBD</v>
      </c>
      <c r="U38" s="54" t="str">
        <f aca="true">IF($J38="Completed","COMPLETE",IF(AND($H38&lt;&gt;"",$H38&lt;TODAY()),"OVERDUE",IF($J38="Blocked","BLOCKED",IF(ISNUMBER(SEARCH("Power availability",$P38)),"PENDING POWER AVAILABILITY",IF(IFERROR(IF($F38="—",FALSE(),INDEX($J:$J,MATCH($F38,$B:$B,0))&lt;&gt;"Completed"),FALSE()),"PENDING PREDECESSOR",IF($J38="At Risk","AT RISK",IF(OR($J38="Pending Approval",$J38="Pending Material"),UPPER($J38),IF($J38="In Progress","IN PROGRESS",IF($J38="Ready to Start","READY TO START","ON PLAN")))))))))</f>
        <v>PENDING PREDECESSOR</v>
      </c>
    </row>
    <row r="39" customFormat="false" ht="15" hidden="false" customHeight="false" outlineLevel="0" collapsed="false">
      <c r="A39" s="26" t="n">
        <v>27</v>
      </c>
      <c r="B39" s="26" t="s">
        <v>291</v>
      </c>
      <c r="C39" s="8" t="s">
        <v>277</v>
      </c>
      <c r="D39" s="43" t="s">
        <v>292</v>
      </c>
      <c r="E39" s="8" t="s">
        <v>161</v>
      </c>
      <c r="F39" s="26" t="s">
        <v>288</v>
      </c>
      <c r="G39" s="44"/>
      <c r="H39" s="44"/>
      <c r="I39" s="45" t="str">
        <f aca="false">IF(OR($G39="",$H39=""),"TBD",$H39-$G39+1)</f>
        <v>TBD</v>
      </c>
      <c r="J39" s="26" t="s">
        <v>51</v>
      </c>
      <c r="K39" s="46" t="n">
        <v>0</v>
      </c>
      <c r="L39" s="8" t="s">
        <v>50</v>
      </c>
      <c r="M39" s="8" t="s">
        <v>245</v>
      </c>
      <c r="N39" s="26" t="s">
        <v>50</v>
      </c>
      <c r="O39" s="8" t="s">
        <v>50</v>
      </c>
      <c r="P39" s="8" t="s">
        <v>293</v>
      </c>
      <c r="Q39" s="8" t="s">
        <v>162</v>
      </c>
      <c r="R39" s="26" t="s">
        <v>164</v>
      </c>
      <c r="S39" s="47" t="s">
        <v>294</v>
      </c>
      <c r="T39" s="45" t="str">
        <f aca="true">IF($H39="","TBD",IF($J39="Completed","Closed",$H39-TODAY()))</f>
        <v>TBD</v>
      </c>
      <c r="U39" s="45" t="str">
        <f aca="true">IF($J39="Completed","COMPLETE",IF(AND($H39&lt;&gt;"",$H39&lt;TODAY()),"OVERDUE",IF($J39="Blocked","BLOCKED",IF(ISNUMBER(SEARCH("Power availability",$P39)),"PENDING POWER AVAILABILITY",IF(IFERROR(IF($F39="—",FALSE(),INDEX($J:$J,MATCH($F39,$B:$B,0))&lt;&gt;"Completed"),FALSE()),"PENDING PREDECESSOR",IF($J39="At Risk","AT RISK",IF(OR($J39="Pending Approval",$J39="Pending Material"),UPPER($J39),IF($J39="In Progress","IN PROGRESS",IF($J39="Ready to Start","READY TO START","ON PLAN")))))))))</f>
        <v>PENDING PREDECESSOR</v>
      </c>
    </row>
    <row r="40" customFormat="false" ht="15" hidden="false" customHeight="false" outlineLevel="0" collapsed="false">
      <c r="A40" s="29" t="n">
        <v>28</v>
      </c>
      <c r="B40" s="29" t="s">
        <v>295</v>
      </c>
      <c r="C40" s="48" t="s">
        <v>277</v>
      </c>
      <c r="D40" s="49" t="s">
        <v>296</v>
      </c>
      <c r="E40" s="48" t="s">
        <v>161</v>
      </c>
      <c r="F40" s="29" t="s">
        <v>291</v>
      </c>
      <c r="G40" s="44"/>
      <c r="H40" s="44"/>
      <c r="I40" s="51" t="str">
        <f aca="false">IF(OR($G40="",$H40=""),"TBD",$H40-$G40+1)</f>
        <v>TBD</v>
      </c>
      <c r="J40" s="29" t="s">
        <v>51</v>
      </c>
      <c r="K40" s="46" t="n">
        <v>0</v>
      </c>
      <c r="L40" s="48" t="s">
        <v>50</v>
      </c>
      <c r="M40" s="48" t="s">
        <v>245</v>
      </c>
      <c r="N40" s="29" t="s">
        <v>50</v>
      </c>
      <c r="O40" s="48" t="s">
        <v>50</v>
      </c>
      <c r="P40" s="48" t="s">
        <v>297</v>
      </c>
      <c r="Q40" s="48" t="s">
        <v>162</v>
      </c>
      <c r="R40" s="29" t="s">
        <v>164</v>
      </c>
      <c r="S40" s="55" t="s">
        <v>298</v>
      </c>
      <c r="T40" s="51" t="str">
        <f aca="true">IF($H40="","TBD",IF($J40="Completed","Closed",$H40-TODAY()))</f>
        <v>TBD</v>
      </c>
      <c r="U40" s="54" t="str">
        <f aca="true">IF($J40="Completed","COMPLETE",IF(AND($H40&lt;&gt;"",$H40&lt;TODAY()),"OVERDUE",IF($J40="Blocked","BLOCKED",IF(ISNUMBER(SEARCH("Power availability",$P40)),"PENDING POWER AVAILABILITY",IF(IFERROR(IF($F40="—",FALSE(),INDEX($J:$J,MATCH($F40,$B:$B,0))&lt;&gt;"Completed"),FALSE()),"PENDING PREDECESSOR",IF($J40="At Risk","AT RISK",IF(OR($J40="Pending Approval",$J40="Pending Material"),UPPER($J40),IF($J40="In Progress","IN PROGRESS",IF($J40="Ready to Start","READY TO START","ON PLAN")))))))))</f>
        <v>PENDING PREDECESSOR</v>
      </c>
    </row>
    <row r="41" customFormat="false" ht="15" hidden="false" customHeight="false" outlineLevel="0" collapsed="false">
      <c r="A41" s="26" t="n">
        <v>29</v>
      </c>
      <c r="B41" s="26" t="s">
        <v>299</v>
      </c>
      <c r="C41" s="8" t="s">
        <v>277</v>
      </c>
      <c r="D41" s="56" t="s">
        <v>300</v>
      </c>
      <c r="E41" s="8" t="s">
        <v>161</v>
      </c>
      <c r="F41" s="26" t="s">
        <v>226</v>
      </c>
      <c r="G41" s="44"/>
      <c r="H41" s="44"/>
      <c r="I41" s="45" t="str">
        <f aca="false">IF(OR($G41="",$H41=""),"TBD",$H41-$G41+1)</f>
        <v>TBD</v>
      </c>
      <c r="J41" s="26" t="s">
        <v>51</v>
      </c>
      <c r="K41" s="46" t="n">
        <v>0</v>
      </c>
      <c r="L41" s="8" t="s">
        <v>50</v>
      </c>
      <c r="M41" s="8" t="s">
        <v>253</v>
      </c>
      <c r="N41" s="26" t="s">
        <v>50</v>
      </c>
      <c r="O41" s="8" t="s">
        <v>50</v>
      </c>
      <c r="P41" s="8" t="s">
        <v>301</v>
      </c>
      <c r="Q41" s="8" t="s">
        <v>224</v>
      </c>
      <c r="R41" s="26" t="s">
        <v>164</v>
      </c>
      <c r="S41" s="47" t="s">
        <v>302</v>
      </c>
      <c r="T41" s="45" t="str">
        <f aca="true">IF($H41="","TBD",IF($J41="Completed","Closed",$H41-TODAY()))</f>
        <v>TBD</v>
      </c>
      <c r="U41" s="45" t="str">
        <f aca="true">IF($J41="Completed","COMPLETE",IF(AND($H41&lt;&gt;"",$H41&lt;TODAY()),"OVERDUE",IF($J41="Blocked","BLOCKED",IF(ISNUMBER(SEARCH("Power availability",$P41)),"PENDING POWER AVAILABILITY",IF(IFERROR(IF($F41="—",FALSE(),INDEX($J:$J,MATCH($F41,$B:$B,0))&lt;&gt;"Completed"),FALSE()),"PENDING PREDECESSOR",IF($J41="At Risk","AT RISK",IF(OR($J41="Pending Approval",$J41="Pending Material"),UPPER($J41),IF($J41="In Progress","IN PROGRESS",IF($J41="Ready to Start","READY TO START","ON PLAN")))))))))</f>
        <v>PENDING PREDECESSOR</v>
      </c>
    </row>
    <row r="42" customFormat="false" ht="22.35" hidden="false" customHeight="false" outlineLevel="0" collapsed="false">
      <c r="A42" s="29" t="n">
        <v>30</v>
      </c>
      <c r="B42" s="29" t="s">
        <v>303</v>
      </c>
      <c r="C42" s="48" t="s">
        <v>277</v>
      </c>
      <c r="D42" s="23" t="s">
        <v>304</v>
      </c>
      <c r="E42" s="48" t="s">
        <v>305</v>
      </c>
      <c r="F42" s="29" t="s">
        <v>210</v>
      </c>
      <c r="G42" s="44"/>
      <c r="H42" s="44"/>
      <c r="I42" s="51" t="str">
        <f aca="false">IF(OR($G42="",$H42=""),"TBD",$H42-$G42+1)</f>
        <v>TBD</v>
      </c>
      <c r="J42" s="29" t="s">
        <v>58</v>
      </c>
      <c r="K42" s="46" t="n">
        <v>0</v>
      </c>
      <c r="L42" s="48" t="s">
        <v>50</v>
      </c>
      <c r="M42" s="48" t="s">
        <v>212</v>
      </c>
      <c r="N42" s="29" t="s">
        <v>50</v>
      </c>
      <c r="O42" s="48" t="s">
        <v>50</v>
      </c>
      <c r="P42" s="58" t="s">
        <v>306</v>
      </c>
      <c r="Q42" s="58" t="s">
        <v>214</v>
      </c>
      <c r="R42" s="29" t="s">
        <v>164</v>
      </c>
      <c r="S42" s="53" t="s">
        <v>307</v>
      </c>
      <c r="T42" s="51" t="str">
        <f aca="true">IF($H42="","TBD",IF($J42="Completed","Closed",$H42-TODAY()))</f>
        <v>TBD</v>
      </c>
      <c r="U42" s="54" t="str">
        <f aca="true">IF($J42="Completed","COMPLETE",IF(AND($H42&lt;&gt;"",$H42&lt;TODAY()),"OVERDUE",IF($J42="Blocked","BLOCKED",IF(ISNUMBER(SEARCH("Power availability",$P42)),"PENDING POWER AVAILABILITY",IF(IFERROR(IF($F42="—",FALSE(),INDEX($J:$J,MATCH($F42,$B:$B,0))&lt;&gt;"Completed"),FALSE()),"PENDING PREDECESSOR",IF($J42="At Risk","AT RISK",IF(OR($J42="Pending Approval",$J42="Pending Material"),UPPER($J42),IF($J42="In Progress","IN PROGRESS",IF($J42="Ready to Start","READY TO START","ON PLAN")))))))))</f>
        <v>BLOCKED</v>
      </c>
    </row>
    <row r="43" customFormat="false" ht="15" hidden="false" customHeight="false" outlineLevel="0" collapsed="false">
      <c r="A43" s="26" t="n">
        <v>31</v>
      </c>
      <c r="B43" s="26" t="s">
        <v>308</v>
      </c>
      <c r="C43" s="8" t="s">
        <v>277</v>
      </c>
      <c r="D43" s="56" t="s">
        <v>309</v>
      </c>
      <c r="E43" s="8" t="s">
        <v>161</v>
      </c>
      <c r="F43" s="26" t="s">
        <v>303</v>
      </c>
      <c r="G43" s="44"/>
      <c r="H43" s="44"/>
      <c r="I43" s="45" t="str">
        <f aca="false">IF(OR($G43="",$H43=""),"TBD",$H43-$G43+1)</f>
        <v>TBD</v>
      </c>
      <c r="J43" s="26" t="s">
        <v>51</v>
      </c>
      <c r="K43" s="46" t="n">
        <v>0</v>
      </c>
      <c r="L43" s="8" t="s">
        <v>50</v>
      </c>
      <c r="M43" s="8" t="s">
        <v>199</v>
      </c>
      <c r="N43" s="26" t="s">
        <v>50</v>
      </c>
      <c r="O43" s="8" t="s">
        <v>50</v>
      </c>
      <c r="P43" s="8" t="s">
        <v>310</v>
      </c>
      <c r="Q43" s="8" t="s">
        <v>311</v>
      </c>
      <c r="R43" s="26" t="s">
        <v>164</v>
      </c>
      <c r="S43" s="47" t="s">
        <v>312</v>
      </c>
      <c r="T43" s="45" t="str">
        <f aca="true">IF($H43="","TBD",IF($J43="Completed","Closed",$H43-TODAY()))</f>
        <v>TBD</v>
      </c>
      <c r="U43" s="45" t="str">
        <f aca="true">IF($J43="Completed","COMPLETE",IF(AND($H43&lt;&gt;"",$H43&lt;TODAY()),"OVERDUE",IF($J43="Blocked","BLOCKED",IF(ISNUMBER(SEARCH("Power availability",$P43)),"PENDING POWER AVAILABILITY",IF(IFERROR(IF($F43="—",FALSE(),INDEX($J:$J,MATCH($F43,$B:$B,0))&lt;&gt;"Completed"),FALSE()),"PENDING PREDECESSOR",IF($J43="At Risk","AT RISK",IF(OR($J43="Pending Approval",$J43="Pending Material"),UPPER($J43),IF($J43="In Progress","IN PROGRESS",IF($J43="Ready to Start","READY TO START","ON PLAN")))))))))</f>
        <v>PENDING PREDECESSOR</v>
      </c>
    </row>
    <row r="44" customFormat="false" ht="19.5" hidden="false" customHeight="true" outlineLevel="0" collapsed="false">
      <c r="A44" s="42" t="s">
        <v>313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</row>
    <row r="45" customFormat="false" ht="15" hidden="false" customHeight="false" outlineLevel="0" collapsed="false">
      <c r="A45" s="26" t="n">
        <v>32</v>
      </c>
      <c r="B45" s="26" t="s">
        <v>314</v>
      </c>
      <c r="C45" s="8" t="s">
        <v>315</v>
      </c>
      <c r="D45" s="43" t="s">
        <v>316</v>
      </c>
      <c r="E45" s="8" t="s">
        <v>161</v>
      </c>
      <c r="F45" s="26" t="s">
        <v>308</v>
      </c>
      <c r="G45" s="44"/>
      <c r="H45" s="44"/>
      <c r="I45" s="45" t="str">
        <f aca="false">IF(OR($G45="",$H45=""),"TBD",$H45-$G45+1)</f>
        <v>TBD</v>
      </c>
      <c r="J45" s="26" t="s">
        <v>51</v>
      </c>
      <c r="K45" s="46" t="n">
        <v>0</v>
      </c>
      <c r="L45" s="8" t="s">
        <v>50</v>
      </c>
      <c r="M45" s="8" t="s">
        <v>228</v>
      </c>
      <c r="N45" s="26" t="s">
        <v>50</v>
      </c>
      <c r="O45" s="8" t="s">
        <v>50</v>
      </c>
      <c r="P45" s="8" t="s">
        <v>317</v>
      </c>
      <c r="Q45" s="8" t="s">
        <v>162</v>
      </c>
      <c r="R45" s="26" t="s">
        <v>179</v>
      </c>
      <c r="S45" s="47" t="s">
        <v>318</v>
      </c>
      <c r="T45" s="45" t="str">
        <f aca="true">IF($H45="","TBD",IF($J45="Completed","Closed",$H45-TODAY()))</f>
        <v>TBD</v>
      </c>
      <c r="U45" s="45" t="str">
        <f aca="true">IF($J45="Completed","COMPLETE",IF(AND($H45&lt;&gt;"",$H45&lt;TODAY()),"OVERDUE",IF($J45="Blocked","BLOCKED",IF(ISNUMBER(SEARCH("Power availability",$P45)),"PENDING POWER AVAILABILITY",IF(IFERROR(IF($F45="—",FALSE(),INDEX($J:$J,MATCH($F45,$B:$B,0))&lt;&gt;"Completed"),FALSE()),"PENDING PREDECESSOR",IF($J45="At Risk","AT RISK",IF(OR($J45="Pending Approval",$J45="Pending Material"),UPPER($J45),IF($J45="In Progress","IN PROGRESS",IF($J45="Ready to Start","READY TO START","ON PLAN")))))))))</f>
        <v>PENDING PREDECESSOR</v>
      </c>
    </row>
    <row r="46" customFormat="false" ht="15" hidden="false" customHeight="false" outlineLevel="0" collapsed="false">
      <c r="A46" s="29" t="n">
        <v>33</v>
      </c>
      <c r="B46" s="29" t="s">
        <v>319</v>
      </c>
      <c r="C46" s="48" t="s">
        <v>315</v>
      </c>
      <c r="D46" s="49" t="s">
        <v>320</v>
      </c>
      <c r="E46" s="48" t="s">
        <v>161</v>
      </c>
      <c r="F46" s="29" t="s">
        <v>314</v>
      </c>
      <c r="G46" s="44"/>
      <c r="H46" s="44"/>
      <c r="I46" s="51" t="str">
        <f aca="false">IF(OR($G46="",$H46=""),"TBD",$H46-$G46+1)</f>
        <v>TBD</v>
      </c>
      <c r="J46" s="29" t="s">
        <v>51</v>
      </c>
      <c r="K46" s="46" t="n">
        <v>0</v>
      </c>
      <c r="L46" s="48" t="s">
        <v>50</v>
      </c>
      <c r="M46" s="48" t="s">
        <v>321</v>
      </c>
      <c r="N46" s="29" t="s">
        <v>50</v>
      </c>
      <c r="O46" s="48" t="s">
        <v>50</v>
      </c>
      <c r="P46" s="48" t="s">
        <v>322</v>
      </c>
      <c r="Q46" s="48" t="s">
        <v>162</v>
      </c>
      <c r="R46" s="29" t="s">
        <v>164</v>
      </c>
      <c r="S46" s="55" t="s">
        <v>323</v>
      </c>
      <c r="T46" s="51" t="str">
        <f aca="true">IF($H46="","TBD",IF($J46="Completed","Closed",$H46-TODAY()))</f>
        <v>TBD</v>
      </c>
      <c r="U46" s="54" t="str">
        <f aca="true">IF($J46="Completed","COMPLETE",IF(AND($H46&lt;&gt;"",$H46&lt;TODAY()),"OVERDUE",IF($J46="Blocked","BLOCKED",IF(ISNUMBER(SEARCH("Power availability",$P46)),"PENDING POWER AVAILABILITY",IF(IFERROR(IF($F46="—",FALSE(),INDEX($J:$J,MATCH($F46,$B:$B,0))&lt;&gt;"Completed"),FALSE()),"PENDING PREDECESSOR",IF($J46="At Risk","AT RISK",IF(OR($J46="Pending Approval",$J46="Pending Material"),UPPER($J46),IF($J46="In Progress","IN PROGRESS",IF($J46="Ready to Start","READY TO START","ON PLAN")))))))))</f>
        <v>PENDING PREDECESSOR</v>
      </c>
    </row>
    <row r="47" customFormat="false" ht="15" hidden="false" customHeight="false" outlineLevel="0" collapsed="false">
      <c r="A47" s="26" t="n">
        <v>34</v>
      </c>
      <c r="B47" s="26" t="s">
        <v>324</v>
      </c>
      <c r="C47" s="8" t="s">
        <v>315</v>
      </c>
      <c r="D47" s="43" t="s">
        <v>325</v>
      </c>
      <c r="E47" s="8" t="s">
        <v>161</v>
      </c>
      <c r="F47" s="26" t="s">
        <v>319</v>
      </c>
      <c r="G47" s="44"/>
      <c r="H47" s="44"/>
      <c r="I47" s="45" t="str">
        <f aca="false">IF(OR($G47="",$H47=""),"TBD",$H47-$G47+1)</f>
        <v>TBD</v>
      </c>
      <c r="J47" s="26" t="s">
        <v>51</v>
      </c>
      <c r="K47" s="46" t="n">
        <v>0</v>
      </c>
      <c r="L47" s="8" t="s">
        <v>50</v>
      </c>
      <c r="M47" s="8" t="s">
        <v>249</v>
      </c>
      <c r="N47" s="26" t="s">
        <v>50</v>
      </c>
      <c r="O47" s="8" t="s">
        <v>50</v>
      </c>
      <c r="P47" s="8" t="s">
        <v>326</v>
      </c>
      <c r="Q47" s="8" t="s">
        <v>162</v>
      </c>
      <c r="R47" s="26" t="s">
        <v>164</v>
      </c>
      <c r="S47" s="47" t="s">
        <v>327</v>
      </c>
      <c r="T47" s="45" t="str">
        <f aca="true">IF($H47="","TBD",IF($J47="Completed","Closed",$H47-TODAY()))</f>
        <v>TBD</v>
      </c>
      <c r="U47" s="45" t="str">
        <f aca="true">IF($J47="Completed","COMPLETE",IF(AND($H47&lt;&gt;"",$H47&lt;TODAY()),"OVERDUE",IF($J47="Blocked","BLOCKED",IF(ISNUMBER(SEARCH("Power availability",$P47)),"PENDING POWER AVAILABILITY",IF(IFERROR(IF($F47="—",FALSE(),INDEX($J:$J,MATCH($F47,$B:$B,0))&lt;&gt;"Completed"),FALSE()),"PENDING PREDECESSOR",IF($J47="At Risk","AT RISK",IF(OR($J47="Pending Approval",$J47="Pending Material"),UPPER($J47),IF($J47="In Progress","IN PROGRESS",IF($J47="Ready to Start","READY TO START","ON PLAN")))))))))</f>
        <v>PENDING PREDECESSOR</v>
      </c>
    </row>
    <row r="48" customFormat="false" ht="15" hidden="false" customHeight="false" outlineLevel="0" collapsed="false">
      <c r="A48" s="29" t="n">
        <v>35</v>
      </c>
      <c r="B48" s="29" t="s">
        <v>328</v>
      </c>
      <c r="C48" s="48" t="s">
        <v>315</v>
      </c>
      <c r="D48" s="49" t="s">
        <v>329</v>
      </c>
      <c r="E48" s="48" t="s">
        <v>161</v>
      </c>
      <c r="F48" s="29" t="s">
        <v>319</v>
      </c>
      <c r="G48" s="44"/>
      <c r="H48" s="44"/>
      <c r="I48" s="51" t="str">
        <f aca="false">IF(OR($G48="",$H48=""),"TBD",$H48-$G48+1)</f>
        <v>TBD</v>
      </c>
      <c r="J48" s="29" t="s">
        <v>51</v>
      </c>
      <c r="K48" s="46" t="n">
        <v>0</v>
      </c>
      <c r="L48" s="48" t="s">
        <v>50</v>
      </c>
      <c r="M48" s="48" t="s">
        <v>245</v>
      </c>
      <c r="N48" s="29" t="s">
        <v>50</v>
      </c>
      <c r="O48" s="48" t="s">
        <v>50</v>
      </c>
      <c r="P48" s="48" t="s">
        <v>326</v>
      </c>
      <c r="Q48" s="48" t="s">
        <v>162</v>
      </c>
      <c r="R48" s="29" t="s">
        <v>164</v>
      </c>
      <c r="S48" s="55" t="s">
        <v>327</v>
      </c>
      <c r="T48" s="51" t="str">
        <f aca="true">IF($H48="","TBD",IF($J48="Completed","Closed",$H48-TODAY()))</f>
        <v>TBD</v>
      </c>
      <c r="U48" s="54" t="str">
        <f aca="true">IF($J48="Completed","COMPLETE",IF(AND($H48&lt;&gt;"",$H48&lt;TODAY()),"OVERDUE",IF($J48="Blocked","BLOCKED",IF(ISNUMBER(SEARCH("Power availability",$P48)),"PENDING POWER AVAILABILITY",IF(IFERROR(IF($F48="—",FALSE(),INDEX($J:$J,MATCH($F48,$B:$B,0))&lt;&gt;"Completed"),FALSE()),"PENDING PREDECESSOR",IF($J48="At Risk","AT RISK",IF(OR($J48="Pending Approval",$J48="Pending Material"),UPPER($J48),IF($J48="In Progress","IN PROGRESS",IF($J48="Ready to Start","READY TO START","ON PLAN")))))))))</f>
        <v>PENDING PREDECESSOR</v>
      </c>
    </row>
    <row r="49" customFormat="false" ht="15" hidden="false" customHeight="false" outlineLevel="0" collapsed="false">
      <c r="A49" s="26" t="n">
        <v>36</v>
      </c>
      <c r="B49" s="26" t="s">
        <v>330</v>
      </c>
      <c r="C49" s="8" t="s">
        <v>315</v>
      </c>
      <c r="D49" s="56" t="s">
        <v>331</v>
      </c>
      <c r="E49" s="8" t="s">
        <v>161</v>
      </c>
      <c r="F49" s="26" t="s">
        <v>324</v>
      </c>
      <c r="G49" s="44"/>
      <c r="H49" s="44"/>
      <c r="I49" s="45" t="str">
        <f aca="false">IF(OR($G49="",$H49=""),"TBD",$H49-$G49+1)</f>
        <v>TBD</v>
      </c>
      <c r="J49" s="26" t="s">
        <v>51</v>
      </c>
      <c r="K49" s="46" t="n">
        <v>0</v>
      </c>
      <c r="L49" s="8" t="s">
        <v>50</v>
      </c>
      <c r="M49" s="8" t="s">
        <v>321</v>
      </c>
      <c r="N49" s="26" t="s">
        <v>50</v>
      </c>
      <c r="O49" s="8" t="s">
        <v>50</v>
      </c>
      <c r="P49" s="8" t="s">
        <v>332</v>
      </c>
      <c r="Q49" s="8" t="s">
        <v>333</v>
      </c>
      <c r="R49" s="26" t="s">
        <v>164</v>
      </c>
      <c r="S49" s="47" t="s">
        <v>334</v>
      </c>
      <c r="T49" s="45" t="str">
        <f aca="true">IF($H49="","TBD",IF($J49="Completed","Closed",$H49-TODAY()))</f>
        <v>TBD</v>
      </c>
      <c r="U49" s="45" t="str">
        <f aca="true">IF($J49="Completed","COMPLETE",IF(AND($H49&lt;&gt;"",$H49&lt;TODAY()),"OVERDUE",IF($J49="Blocked","BLOCKED",IF(ISNUMBER(SEARCH("Power availability",$P49)),"PENDING POWER AVAILABILITY",IF(IFERROR(IF($F49="—",FALSE(),INDEX($J:$J,MATCH($F49,$B:$B,0))&lt;&gt;"Completed"),FALSE()),"PENDING PREDECESSOR",IF($J49="At Risk","AT RISK",IF(OR($J49="Pending Approval",$J49="Pending Material"),UPPER($J49),IF($J49="In Progress","IN PROGRESS",IF($J49="Ready to Start","READY TO START","ON PLAN")))))))))</f>
        <v>PENDING PREDECESSOR</v>
      </c>
    </row>
    <row r="50" customFormat="false" ht="15" hidden="false" customHeight="false" outlineLevel="0" collapsed="false">
      <c r="A50" s="29" t="n">
        <v>37</v>
      </c>
      <c r="B50" s="29" t="s">
        <v>335</v>
      </c>
      <c r="C50" s="48" t="s">
        <v>315</v>
      </c>
      <c r="D50" s="49" t="s">
        <v>336</v>
      </c>
      <c r="E50" s="48" t="s">
        <v>161</v>
      </c>
      <c r="F50" s="29" t="s">
        <v>330</v>
      </c>
      <c r="G50" s="44"/>
      <c r="H50" s="44"/>
      <c r="I50" s="51" t="str">
        <f aca="false">IF(OR($G50="",$H50=""),"TBD",$H50-$G50+1)</f>
        <v>TBD</v>
      </c>
      <c r="J50" s="29" t="s">
        <v>51</v>
      </c>
      <c r="K50" s="46" t="n">
        <v>0</v>
      </c>
      <c r="L50" s="48" t="s">
        <v>50</v>
      </c>
      <c r="M50" s="48" t="s">
        <v>199</v>
      </c>
      <c r="N50" s="29" t="s">
        <v>50</v>
      </c>
      <c r="O50" s="48" t="s">
        <v>50</v>
      </c>
      <c r="P50" s="48" t="s">
        <v>337</v>
      </c>
      <c r="Q50" s="48" t="s">
        <v>162</v>
      </c>
      <c r="R50" s="29" t="s">
        <v>164</v>
      </c>
      <c r="S50" s="55" t="s">
        <v>338</v>
      </c>
      <c r="T50" s="51" t="str">
        <f aca="true">IF($H50="","TBD",IF($J50="Completed","Closed",$H50-TODAY()))</f>
        <v>TBD</v>
      </c>
      <c r="U50" s="54" t="str">
        <f aca="true">IF($J50="Completed","COMPLETE",IF(AND($H50&lt;&gt;"",$H50&lt;TODAY()),"OVERDUE",IF($J50="Blocked","BLOCKED",IF(ISNUMBER(SEARCH("Power availability",$P50)),"PENDING POWER AVAILABILITY",IF(IFERROR(IF($F50="—",FALSE(),INDEX($J:$J,MATCH($F50,$B:$B,0))&lt;&gt;"Completed"),FALSE()),"PENDING PREDECESSOR",IF($J50="At Risk","AT RISK",IF(OR($J50="Pending Approval",$J50="Pending Material"),UPPER($J50),IF($J50="In Progress","IN PROGRESS",IF($J50="Ready to Start","READY TO START","ON PLAN")))))))))</f>
        <v>PENDING PREDECESSOR</v>
      </c>
    </row>
    <row r="51" customFormat="false" ht="15" hidden="false" customHeight="false" outlineLevel="0" collapsed="false">
      <c r="A51" s="26" t="n">
        <v>38</v>
      </c>
      <c r="B51" s="26" t="s">
        <v>339</v>
      </c>
      <c r="C51" s="8" t="s">
        <v>315</v>
      </c>
      <c r="D51" s="43" t="s">
        <v>340</v>
      </c>
      <c r="E51" s="8" t="s">
        <v>161</v>
      </c>
      <c r="F51" s="26" t="s">
        <v>335</v>
      </c>
      <c r="G51" s="44"/>
      <c r="H51" s="44"/>
      <c r="I51" s="45" t="str">
        <f aca="false">IF(OR($G51="",$H51=""),"TBD",$H51-$G51+1)</f>
        <v>TBD</v>
      </c>
      <c r="J51" s="26" t="s">
        <v>51</v>
      </c>
      <c r="K51" s="46" t="n">
        <v>0</v>
      </c>
      <c r="L51" s="8" t="s">
        <v>50</v>
      </c>
      <c r="M51" s="8" t="s">
        <v>228</v>
      </c>
      <c r="N51" s="26" t="s">
        <v>50</v>
      </c>
      <c r="O51" s="8" t="s">
        <v>50</v>
      </c>
      <c r="P51" s="8" t="s">
        <v>341</v>
      </c>
      <c r="Q51" s="8" t="s">
        <v>162</v>
      </c>
      <c r="R51" s="26" t="s">
        <v>164</v>
      </c>
      <c r="S51" s="47" t="s">
        <v>342</v>
      </c>
      <c r="T51" s="45" t="str">
        <f aca="true">IF($H51="","TBD",IF($J51="Completed","Closed",$H51-TODAY()))</f>
        <v>TBD</v>
      </c>
      <c r="U51" s="45" t="str">
        <f aca="true">IF($J51="Completed","COMPLETE",IF(AND($H51&lt;&gt;"",$H51&lt;TODAY()),"OVERDUE",IF($J51="Blocked","BLOCKED",IF(ISNUMBER(SEARCH("Power availability",$P51)),"PENDING POWER AVAILABILITY",IF(IFERROR(IF($F51="—",FALSE(),INDEX($J:$J,MATCH($F51,$B:$B,0))&lt;&gt;"Completed"),FALSE()),"PENDING PREDECESSOR",IF($J51="At Risk","AT RISK",IF(OR($J51="Pending Approval",$J51="Pending Material"),UPPER($J51),IF($J51="In Progress","IN PROGRESS",IF($J51="Ready to Start","READY TO START","ON PLAN")))))))))</f>
        <v>PENDING PREDECESSOR</v>
      </c>
    </row>
    <row r="52" customFormat="false" ht="15" hidden="false" customHeight="false" outlineLevel="0" collapsed="false">
      <c r="A52" s="29" t="n">
        <v>39</v>
      </c>
      <c r="B52" s="29" t="s">
        <v>343</v>
      </c>
      <c r="C52" s="48" t="s">
        <v>315</v>
      </c>
      <c r="D52" s="49" t="s">
        <v>344</v>
      </c>
      <c r="E52" s="48" t="s">
        <v>161</v>
      </c>
      <c r="F52" s="29" t="s">
        <v>339</v>
      </c>
      <c r="G52" s="44"/>
      <c r="H52" s="44"/>
      <c r="I52" s="51" t="str">
        <f aca="false">IF(OR($G52="",$H52=""),"TBD",$H52-$G52+1)</f>
        <v>TBD</v>
      </c>
      <c r="J52" s="29" t="s">
        <v>51</v>
      </c>
      <c r="K52" s="46" t="n">
        <v>0</v>
      </c>
      <c r="L52" s="48" t="s">
        <v>50</v>
      </c>
      <c r="M52" s="48" t="s">
        <v>222</v>
      </c>
      <c r="N52" s="29" t="s">
        <v>50</v>
      </c>
      <c r="O52" s="48" t="s">
        <v>50</v>
      </c>
      <c r="P52" s="48" t="s">
        <v>345</v>
      </c>
      <c r="Q52" s="48" t="s">
        <v>162</v>
      </c>
      <c r="R52" s="29" t="s">
        <v>164</v>
      </c>
      <c r="S52" s="55" t="s">
        <v>346</v>
      </c>
      <c r="T52" s="51" t="str">
        <f aca="true">IF($H52="","TBD",IF($J52="Completed","Closed",$H52-TODAY()))</f>
        <v>TBD</v>
      </c>
      <c r="U52" s="54" t="str">
        <f aca="true">IF($J52="Completed","COMPLETE",IF(AND($H52&lt;&gt;"",$H52&lt;TODAY()),"OVERDUE",IF($J52="Blocked","BLOCKED",IF(ISNUMBER(SEARCH("Power availability",$P52)),"PENDING POWER AVAILABILITY",IF(IFERROR(IF($F52="—",FALSE(),INDEX($J:$J,MATCH($F52,$B:$B,0))&lt;&gt;"Completed"),FALSE()),"PENDING PREDECESSOR",IF($J52="At Risk","AT RISK",IF(OR($J52="Pending Approval",$J52="Pending Material"),UPPER($J52),IF($J52="In Progress","IN PROGRESS",IF($J52="Ready to Start","READY TO START","ON PLAN")))))))))</f>
        <v>PENDING PREDECESSOR</v>
      </c>
    </row>
    <row r="53" customFormat="false" ht="15" hidden="false" customHeight="false" outlineLevel="0" collapsed="false">
      <c r="A53" s="26" t="n">
        <v>40</v>
      </c>
      <c r="B53" s="26" t="s">
        <v>347</v>
      </c>
      <c r="C53" s="8" t="s">
        <v>315</v>
      </c>
      <c r="D53" s="43" t="s">
        <v>348</v>
      </c>
      <c r="E53" s="8" t="s">
        <v>161</v>
      </c>
      <c r="F53" s="26" t="s">
        <v>343</v>
      </c>
      <c r="G53" s="44"/>
      <c r="H53" s="44"/>
      <c r="I53" s="45" t="str">
        <f aca="false">IF(OR($G53="",$H53=""),"TBD",$H53-$G53+1)</f>
        <v>TBD</v>
      </c>
      <c r="J53" s="26" t="s">
        <v>51</v>
      </c>
      <c r="K53" s="46" t="n">
        <v>0</v>
      </c>
      <c r="L53" s="8" t="s">
        <v>50</v>
      </c>
      <c r="M53" s="8" t="s">
        <v>321</v>
      </c>
      <c r="N53" s="26" t="s">
        <v>50</v>
      </c>
      <c r="O53" s="8" t="s">
        <v>50</v>
      </c>
      <c r="P53" s="8" t="s">
        <v>349</v>
      </c>
      <c r="Q53" s="8" t="s">
        <v>162</v>
      </c>
      <c r="R53" s="26" t="s">
        <v>179</v>
      </c>
      <c r="S53" s="47" t="s">
        <v>350</v>
      </c>
      <c r="T53" s="45" t="str">
        <f aca="true">IF($H53="","TBD",IF($J53="Completed","Closed",$H53-TODAY()))</f>
        <v>TBD</v>
      </c>
      <c r="U53" s="45" t="str">
        <f aca="true">IF($J53="Completed","COMPLETE",IF(AND($H53&lt;&gt;"",$H53&lt;TODAY()),"OVERDUE",IF($J53="Blocked","BLOCKED",IF(ISNUMBER(SEARCH("Power availability",$P53)),"PENDING POWER AVAILABILITY",IF(IFERROR(IF($F53="—",FALSE(),INDEX($J:$J,MATCH($F53,$B:$B,0))&lt;&gt;"Completed"),FALSE()),"PENDING PREDECESSOR",IF($J53="At Risk","AT RISK",IF(OR($J53="Pending Approval",$J53="Pending Material"),UPPER($J53),IF($J53="In Progress","IN PROGRESS",IF($J53="Ready to Start","READY TO START","ON PLAN")))))))))</f>
        <v>PENDING PREDECESSOR</v>
      </c>
    </row>
    <row r="54" customFormat="false" ht="19.5" hidden="false" customHeight="true" outlineLevel="0" collapsed="false">
      <c r="A54" s="42" t="s">
        <v>351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</row>
    <row r="55" customFormat="false" ht="15" hidden="false" customHeight="false" outlineLevel="0" collapsed="false">
      <c r="A55" s="26" t="n">
        <v>41</v>
      </c>
      <c r="B55" s="26" t="s">
        <v>352</v>
      </c>
      <c r="C55" s="8" t="s">
        <v>353</v>
      </c>
      <c r="D55" s="43" t="s">
        <v>354</v>
      </c>
      <c r="E55" s="8" t="s">
        <v>161</v>
      </c>
      <c r="F55" s="26" t="s">
        <v>347</v>
      </c>
      <c r="G55" s="44"/>
      <c r="H55" s="44"/>
      <c r="I55" s="45" t="str">
        <f aca="false">IF(OR($G55="",$H55=""),"TBD",$H55-$G55+1)</f>
        <v>TBD</v>
      </c>
      <c r="J55" s="26" t="s">
        <v>51</v>
      </c>
      <c r="K55" s="46" t="n">
        <v>0</v>
      </c>
      <c r="L55" s="8" t="s">
        <v>50</v>
      </c>
      <c r="M55" s="8" t="s">
        <v>228</v>
      </c>
      <c r="N55" s="26" t="s">
        <v>50</v>
      </c>
      <c r="O55" s="8" t="s">
        <v>50</v>
      </c>
      <c r="P55" s="8" t="s">
        <v>355</v>
      </c>
      <c r="Q55" s="8" t="s">
        <v>162</v>
      </c>
      <c r="R55" s="26" t="s">
        <v>179</v>
      </c>
      <c r="S55" s="47" t="s">
        <v>356</v>
      </c>
      <c r="T55" s="45" t="str">
        <f aca="true">IF($H55="","TBD",IF($J55="Completed","Closed",$H55-TODAY()))</f>
        <v>TBD</v>
      </c>
      <c r="U55" s="45" t="str">
        <f aca="true">IF($J55="Completed","COMPLETE",IF(AND($H55&lt;&gt;"",$H55&lt;TODAY()),"OVERDUE",IF($J55="Blocked","BLOCKED",IF(ISNUMBER(SEARCH("Power availability",$P55)),"PENDING POWER AVAILABILITY",IF(IFERROR(IF($F55="—",FALSE(),INDEX($J:$J,MATCH($F55,$B:$B,0))&lt;&gt;"Completed"),FALSE()),"PENDING PREDECESSOR",IF($J55="At Risk","AT RISK",IF(OR($J55="Pending Approval",$J55="Pending Material"),UPPER($J55),IF($J55="In Progress","IN PROGRESS",IF($J55="Ready to Start","READY TO START","ON PLAN")))))))))</f>
        <v>PENDING PREDECESSOR</v>
      </c>
    </row>
    <row r="56" customFormat="false" ht="15" hidden="false" customHeight="false" outlineLevel="0" collapsed="false">
      <c r="A56" s="29" t="n">
        <v>42</v>
      </c>
      <c r="B56" s="29" t="s">
        <v>357</v>
      </c>
      <c r="C56" s="48" t="s">
        <v>353</v>
      </c>
      <c r="D56" s="49" t="s">
        <v>358</v>
      </c>
      <c r="E56" s="48" t="s">
        <v>161</v>
      </c>
      <c r="F56" s="29" t="s">
        <v>352</v>
      </c>
      <c r="G56" s="44"/>
      <c r="H56" s="44"/>
      <c r="I56" s="51" t="str">
        <f aca="false">IF(OR($G56="",$H56=""),"TBD",$H56-$G56+1)</f>
        <v>TBD</v>
      </c>
      <c r="J56" s="29" t="s">
        <v>51</v>
      </c>
      <c r="K56" s="46" t="n">
        <v>0</v>
      </c>
      <c r="L56" s="48" t="s">
        <v>50</v>
      </c>
      <c r="M56" s="48" t="s">
        <v>222</v>
      </c>
      <c r="N56" s="29" t="s">
        <v>50</v>
      </c>
      <c r="O56" s="48" t="s">
        <v>50</v>
      </c>
      <c r="P56" s="48" t="s">
        <v>359</v>
      </c>
      <c r="Q56" s="48" t="s">
        <v>162</v>
      </c>
      <c r="R56" s="29" t="s">
        <v>164</v>
      </c>
      <c r="S56" s="55" t="s">
        <v>360</v>
      </c>
      <c r="T56" s="51" t="str">
        <f aca="true">IF($H56="","TBD",IF($J56="Completed","Closed",$H56-TODAY()))</f>
        <v>TBD</v>
      </c>
      <c r="U56" s="54" t="str">
        <f aca="true">IF($J56="Completed","COMPLETE",IF(AND($H56&lt;&gt;"",$H56&lt;TODAY()),"OVERDUE",IF($J56="Blocked","BLOCKED",IF(ISNUMBER(SEARCH("Power availability",$P56)),"PENDING POWER AVAILABILITY",IF(IFERROR(IF($F56="—",FALSE(),INDEX($J:$J,MATCH($F56,$B:$B,0))&lt;&gt;"Completed"),FALSE()),"PENDING PREDECESSOR",IF($J56="At Risk","AT RISK",IF(OR($J56="Pending Approval",$J56="Pending Material"),UPPER($J56),IF($J56="In Progress","IN PROGRESS",IF($J56="Ready to Start","READY TO START","ON PLAN")))))))))</f>
        <v>PENDING PREDECESSOR</v>
      </c>
    </row>
    <row r="57" customFormat="false" ht="15" hidden="false" customHeight="false" outlineLevel="0" collapsed="false">
      <c r="A57" s="26" t="n">
        <v>43</v>
      </c>
      <c r="B57" s="26" t="s">
        <v>361</v>
      </c>
      <c r="C57" s="8" t="s">
        <v>353</v>
      </c>
      <c r="D57" s="43" t="s">
        <v>362</v>
      </c>
      <c r="E57" s="8" t="s">
        <v>161</v>
      </c>
      <c r="F57" s="26" t="s">
        <v>357</v>
      </c>
      <c r="G57" s="44"/>
      <c r="H57" s="44"/>
      <c r="I57" s="45" t="str">
        <f aca="false">IF(OR($G57="",$H57=""),"TBD",$H57-$G57+1)</f>
        <v>TBD</v>
      </c>
      <c r="J57" s="26" t="s">
        <v>51</v>
      </c>
      <c r="K57" s="46" t="n">
        <v>0</v>
      </c>
      <c r="L57" s="8" t="s">
        <v>50</v>
      </c>
      <c r="M57" s="8" t="s">
        <v>253</v>
      </c>
      <c r="N57" s="26" t="s">
        <v>50</v>
      </c>
      <c r="O57" s="8" t="s">
        <v>50</v>
      </c>
      <c r="P57" s="8" t="s">
        <v>363</v>
      </c>
      <c r="Q57" s="8" t="s">
        <v>162</v>
      </c>
      <c r="R57" s="26" t="s">
        <v>164</v>
      </c>
      <c r="S57" s="47" t="s">
        <v>364</v>
      </c>
      <c r="T57" s="45" t="str">
        <f aca="true">IF($H57="","TBD",IF($J57="Completed","Closed",$H57-TODAY()))</f>
        <v>TBD</v>
      </c>
      <c r="U57" s="45" t="str">
        <f aca="true">IF($J57="Completed","COMPLETE",IF(AND($H57&lt;&gt;"",$H57&lt;TODAY()),"OVERDUE",IF($J57="Blocked","BLOCKED",IF(ISNUMBER(SEARCH("Power availability",$P57)),"PENDING POWER AVAILABILITY",IF(IFERROR(IF($F57="—",FALSE(),INDEX($J:$J,MATCH($F57,$B:$B,0))&lt;&gt;"Completed"),FALSE()),"PENDING PREDECESSOR",IF($J57="At Risk","AT RISK",IF(OR($J57="Pending Approval",$J57="Pending Material"),UPPER($J57),IF($J57="In Progress","IN PROGRESS",IF($J57="Ready to Start","READY TO START","ON PLAN")))))))))</f>
        <v>PENDING PREDECESSOR</v>
      </c>
    </row>
    <row r="58" customFormat="false" ht="15" hidden="false" customHeight="false" outlineLevel="0" collapsed="false">
      <c r="A58" s="29" t="n">
        <v>44</v>
      </c>
      <c r="B58" s="29" t="s">
        <v>365</v>
      </c>
      <c r="C58" s="48" t="s">
        <v>353</v>
      </c>
      <c r="D58" s="49" t="s">
        <v>366</v>
      </c>
      <c r="E58" s="48" t="s">
        <v>161</v>
      </c>
      <c r="F58" s="29" t="s">
        <v>347</v>
      </c>
      <c r="G58" s="44"/>
      <c r="H58" s="44"/>
      <c r="I58" s="51" t="str">
        <f aca="false">IF(OR($G58="",$H58=""),"TBD",$H58-$G58+1)</f>
        <v>TBD</v>
      </c>
      <c r="J58" s="29" t="s">
        <v>51</v>
      </c>
      <c r="K58" s="46" t="n">
        <v>0</v>
      </c>
      <c r="L58" s="48" t="s">
        <v>50</v>
      </c>
      <c r="M58" s="48" t="s">
        <v>321</v>
      </c>
      <c r="N58" s="29" t="s">
        <v>50</v>
      </c>
      <c r="O58" s="48" t="s">
        <v>50</v>
      </c>
      <c r="P58" s="48" t="s">
        <v>355</v>
      </c>
      <c r="Q58" s="48" t="s">
        <v>162</v>
      </c>
      <c r="R58" s="29" t="s">
        <v>179</v>
      </c>
      <c r="S58" s="55" t="s">
        <v>367</v>
      </c>
      <c r="T58" s="51" t="str">
        <f aca="true">IF($H58="","TBD",IF($J58="Completed","Closed",$H58-TODAY()))</f>
        <v>TBD</v>
      </c>
      <c r="U58" s="54" t="str">
        <f aca="true">IF($J58="Completed","COMPLETE",IF(AND($H58&lt;&gt;"",$H58&lt;TODAY()),"OVERDUE",IF($J58="Blocked","BLOCKED",IF(ISNUMBER(SEARCH("Power availability",$P58)),"PENDING POWER AVAILABILITY",IF(IFERROR(IF($F58="—",FALSE(),INDEX($J:$J,MATCH($F58,$B:$B,0))&lt;&gt;"Completed"),FALSE()),"PENDING PREDECESSOR",IF($J58="At Risk","AT RISK",IF(OR($J58="Pending Approval",$J58="Pending Material"),UPPER($J58),IF($J58="In Progress","IN PROGRESS",IF($J58="Ready to Start","READY TO START","ON PLAN")))))))))</f>
        <v>PENDING PREDECESSOR</v>
      </c>
    </row>
    <row r="59" customFormat="false" ht="15" hidden="false" customHeight="false" outlineLevel="0" collapsed="false">
      <c r="A59" s="26" t="n">
        <v>45</v>
      </c>
      <c r="B59" s="26" t="s">
        <v>368</v>
      </c>
      <c r="C59" s="8" t="s">
        <v>353</v>
      </c>
      <c r="D59" s="43" t="s">
        <v>369</v>
      </c>
      <c r="E59" s="8" t="s">
        <v>161</v>
      </c>
      <c r="F59" s="26" t="s">
        <v>361</v>
      </c>
      <c r="G59" s="44"/>
      <c r="H59" s="44"/>
      <c r="I59" s="45" t="str">
        <f aca="false">IF(OR($G59="",$H59=""),"TBD",$H59-$G59+1)</f>
        <v>TBD</v>
      </c>
      <c r="J59" s="26" t="s">
        <v>51</v>
      </c>
      <c r="K59" s="46" t="n">
        <v>0</v>
      </c>
      <c r="L59" s="8" t="s">
        <v>50</v>
      </c>
      <c r="M59" s="8" t="s">
        <v>253</v>
      </c>
      <c r="N59" s="26" t="s">
        <v>50</v>
      </c>
      <c r="O59" s="8" t="s">
        <v>50</v>
      </c>
      <c r="P59" s="8" t="s">
        <v>370</v>
      </c>
      <c r="Q59" s="8" t="s">
        <v>162</v>
      </c>
      <c r="R59" s="26" t="s">
        <v>179</v>
      </c>
      <c r="S59" s="47" t="s">
        <v>371</v>
      </c>
      <c r="T59" s="45" t="str">
        <f aca="true">IF($H59="","TBD",IF($J59="Completed","Closed",$H59-TODAY()))</f>
        <v>TBD</v>
      </c>
      <c r="U59" s="45" t="str">
        <f aca="true">IF($J59="Completed","COMPLETE",IF(AND($H59&lt;&gt;"",$H59&lt;TODAY()),"OVERDUE",IF($J59="Blocked","BLOCKED",IF(ISNUMBER(SEARCH("Power availability",$P59)),"PENDING POWER AVAILABILITY",IF(IFERROR(IF($F59="—",FALSE(),INDEX($J:$J,MATCH($F59,$B:$B,0))&lt;&gt;"Completed"),FALSE()),"PENDING PREDECESSOR",IF($J59="At Risk","AT RISK",IF(OR($J59="Pending Approval",$J59="Pending Material"),UPPER($J59),IF($J59="In Progress","IN PROGRESS",IF($J59="Ready to Start","READY TO START","ON PLAN")))))))))</f>
        <v>PENDING PREDECESSOR</v>
      </c>
    </row>
    <row r="60" customFormat="false" ht="15" hidden="false" customHeight="false" outlineLevel="0" collapsed="false">
      <c r="A60" s="29" t="n">
        <v>46</v>
      </c>
      <c r="B60" s="29" t="s">
        <v>372</v>
      </c>
      <c r="C60" s="48" t="s">
        <v>353</v>
      </c>
      <c r="D60" s="49" t="s">
        <v>373</v>
      </c>
      <c r="E60" s="48" t="s">
        <v>161</v>
      </c>
      <c r="F60" s="29" t="s">
        <v>368</v>
      </c>
      <c r="G60" s="44"/>
      <c r="H60" s="44"/>
      <c r="I60" s="51" t="str">
        <f aca="false">IF(OR($G60="",$H60=""),"TBD",$H60-$G60+1)</f>
        <v>TBD</v>
      </c>
      <c r="J60" s="29" t="s">
        <v>51</v>
      </c>
      <c r="K60" s="46" t="n">
        <v>0</v>
      </c>
      <c r="L60" s="48" t="s">
        <v>50</v>
      </c>
      <c r="M60" s="48" t="s">
        <v>199</v>
      </c>
      <c r="N60" s="29" t="s">
        <v>50</v>
      </c>
      <c r="O60" s="48" t="s">
        <v>50</v>
      </c>
      <c r="P60" s="48" t="s">
        <v>374</v>
      </c>
      <c r="Q60" s="48" t="s">
        <v>162</v>
      </c>
      <c r="R60" s="29" t="s">
        <v>164</v>
      </c>
      <c r="S60" s="55" t="s">
        <v>375</v>
      </c>
      <c r="T60" s="51" t="str">
        <f aca="true">IF($H60="","TBD",IF($J60="Completed","Closed",$H60-TODAY()))</f>
        <v>TBD</v>
      </c>
      <c r="U60" s="54" t="str">
        <f aca="true">IF($J60="Completed","COMPLETE",IF(AND($H60&lt;&gt;"",$H60&lt;TODAY()),"OVERDUE",IF($J60="Blocked","BLOCKED",IF(ISNUMBER(SEARCH("Power availability",$P60)),"PENDING POWER AVAILABILITY",IF(IFERROR(IF($F60="—",FALSE(),INDEX($J:$J,MATCH($F60,$B:$B,0))&lt;&gt;"Completed"),FALSE()),"PENDING PREDECESSOR",IF($J60="At Risk","AT RISK",IF(OR($J60="Pending Approval",$J60="Pending Material"),UPPER($J60),IF($J60="In Progress","IN PROGRESS",IF($J60="Ready to Start","READY TO START","ON PLAN")))))))))</f>
        <v>PENDING PREDECESSOR</v>
      </c>
    </row>
    <row r="61" customFormat="false" ht="15" hidden="false" customHeight="false" outlineLevel="0" collapsed="false">
      <c r="A61" s="26" t="n">
        <v>47</v>
      </c>
      <c r="B61" s="26" t="s">
        <v>376</v>
      </c>
      <c r="C61" s="8" t="s">
        <v>353</v>
      </c>
      <c r="D61" s="56" t="s">
        <v>377</v>
      </c>
      <c r="E61" s="8" t="s">
        <v>161</v>
      </c>
      <c r="F61" s="26" t="s">
        <v>372</v>
      </c>
      <c r="G61" s="44"/>
      <c r="H61" s="44"/>
      <c r="I61" s="45" t="str">
        <f aca="false">IF(OR($G61="",$H61=""),"TBD",$H61-$G61+1)</f>
        <v>TBD</v>
      </c>
      <c r="J61" s="26" t="s">
        <v>51</v>
      </c>
      <c r="K61" s="46" t="n">
        <v>0</v>
      </c>
      <c r="L61" s="8" t="s">
        <v>50</v>
      </c>
      <c r="M61" s="8" t="s">
        <v>262</v>
      </c>
      <c r="N61" s="26" t="s">
        <v>50</v>
      </c>
      <c r="O61" s="8" t="s">
        <v>50</v>
      </c>
      <c r="P61" s="8" t="s">
        <v>378</v>
      </c>
      <c r="Q61" s="8" t="s">
        <v>162</v>
      </c>
      <c r="R61" s="26" t="s">
        <v>179</v>
      </c>
      <c r="S61" s="47" t="s">
        <v>86</v>
      </c>
      <c r="T61" s="45" t="str">
        <f aca="true">IF($H61="","TBD",IF($J61="Completed","Closed",$H61-TODAY()))</f>
        <v>TBD</v>
      </c>
      <c r="U61" s="45" t="str">
        <f aca="true">IF($J61="Completed","COMPLETE",IF(AND($H61&lt;&gt;"",$H61&lt;TODAY()),"OVERDUE",IF($J61="Blocked","BLOCKED",IF(ISNUMBER(SEARCH("Power availability",$P61)),"PENDING POWER AVAILABILITY",IF(IFERROR(IF($F61="—",FALSE(),INDEX($J:$J,MATCH($F61,$B:$B,0))&lt;&gt;"Completed"),FALSE()),"PENDING PREDECESSOR",IF($J61="At Risk","AT RISK",IF(OR($J61="Pending Approval",$J61="Pending Material"),UPPER($J61),IF($J61="In Progress","IN PROGRESS",IF($J61="Ready to Start","READY TO START","ON PLAN")))))))))</f>
        <v>PENDING PREDECESSOR</v>
      </c>
    </row>
    <row r="62" customFormat="false" ht="15" hidden="false" customHeight="false" outlineLevel="0" collapsed="false">
      <c r="A62" s="29" t="n">
        <v>48</v>
      </c>
      <c r="B62" s="29" t="s">
        <v>379</v>
      </c>
      <c r="C62" s="48" t="s">
        <v>353</v>
      </c>
      <c r="D62" s="56" t="s">
        <v>380</v>
      </c>
      <c r="E62" s="48" t="s">
        <v>161</v>
      </c>
      <c r="F62" s="29" t="s">
        <v>376</v>
      </c>
      <c r="G62" s="44"/>
      <c r="H62" s="44"/>
      <c r="I62" s="51" t="str">
        <f aca="false">IF(OR($G62="",$H62=""),"TBD",$H62-$G62+1)</f>
        <v>TBD</v>
      </c>
      <c r="J62" s="29" t="s">
        <v>51</v>
      </c>
      <c r="K62" s="46" t="n">
        <v>0</v>
      </c>
      <c r="L62" s="48" t="s">
        <v>50</v>
      </c>
      <c r="M62" s="48" t="s">
        <v>381</v>
      </c>
      <c r="N62" s="29" t="s">
        <v>50</v>
      </c>
      <c r="O62" s="48" t="s">
        <v>50</v>
      </c>
      <c r="P62" s="48" t="s">
        <v>382</v>
      </c>
      <c r="Q62" s="48" t="s">
        <v>162</v>
      </c>
      <c r="R62" s="29" t="s">
        <v>179</v>
      </c>
      <c r="S62" s="55" t="s">
        <v>383</v>
      </c>
      <c r="T62" s="51" t="str">
        <f aca="true">IF($H62="","TBD",IF($J62="Completed","Closed",$H62-TODAY()))</f>
        <v>TBD</v>
      </c>
      <c r="U62" s="54" t="str">
        <f aca="true">IF($J62="Completed","COMPLETE",IF(AND($H62&lt;&gt;"",$H62&lt;TODAY()),"OVERDUE",IF($J62="Blocked","BLOCKED",IF(ISNUMBER(SEARCH("Power availability",$P62)),"PENDING POWER AVAILABILITY",IF(IFERROR(IF($F62="—",FALSE(),INDEX($J:$J,MATCH($F62,$B:$B,0))&lt;&gt;"Completed"),FALSE()),"PENDING PREDECESSOR",IF($J62="At Risk","AT RISK",IF(OR($J62="Pending Approval",$J62="Pending Material"),UPPER($J62),IF($J62="In Progress","IN PROGRESS",IF($J62="Ready to Start","READY TO START","ON PLAN")))))))))</f>
        <v>PENDING PREDECESSOR</v>
      </c>
    </row>
    <row r="63" customFormat="false" ht="15" hidden="false" customHeight="false" outlineLevel="0" collapsed="false">
      <c r="A63" s="26" t="n">
        <v>49</v>
      </c>
      <c r="B63" s="26" t="s">
        <v>384</v>
      </c>
      <c r="C63" s="8" t="s">
        <v>353</v>
      </c>
      <c r="D63" s="43" t="s">
        <v>385</v>
      </c>
      <c r="E63" s="8" t="s">
        <v>161</v>
      </c>
      <c r="F63" s="26" t="s">
        <v>379</v>
      </c>
      <c r="G63" s="44"/>
      <c r="H63" s="44"/>
      <c r="I63" s="45" t="str">
        <f aca="false">IF(OR($G63="",$H63=""),"TBD",$H63-$G63+1)</f>
        <v>TBD</v>
      </c>
      <c r="J63" s="26" t="s">
        <v>51</v>
      </c>
      <c r="K63" s="46" t="n">
        <v>0</v>
      </c>
      <c r="L63" s="8" t="s">
        <v>12</v>
      </c>
      <c r="M63" s="8" t="s">
        <v>11</v>
      </c>
      <c r="N63" s="26" t="s">
        <v>50</v>
      </c>
      <c r="O63" s="8" t="s">
        <v>50</v>
      </c>
      <c r="P63" s="8" t="s">
        <v>386</v>
      </c>
      <c r="Q63" s="8" t="s">
        <v>162</v>
      </c>
      <c r="R63" s="26" t="s">
        <v>179</v>
      </c>
      <c r="S63" s="47" t="s">
        <v>387</v>
      </c>
      <c r="T63" s="45" t="str">
        <f aca="true">IF($H63="","TBD",IF($J63="Completed","Closed",$H63-TODAY()))</f>
        <v>TBD</v>
      </c>
      <c r="U63" s="45" t="str">
        <f aca="true">IF($J63="Completed","COMPLETE",IF(AND($H63&lt;&gt;"",$H63&lt;TODAY()),"OVERDUE",IF($J63="Blocked","BLOCKED",IF(ISNUMBER(SEARCH("Power availability",$P63)),"PENDING POWER AVAILABILITY",IF(IFERROR(IF($F63="—",FALSE(),INDEX($J:$J,MATCH($F63,$B:$B,0))&lt;&gt;"Completed"),FALSE()),"PENDING PREDECESSOR",IF($J63="At Risk","AT RISK",IF(OR($J63="Pending Approval",$J63="Pending Material"),UPPER($J63),IF($J63="In Progress","IN PROGRESS",IF($J63="Ready to Start","READY TO START","ON PLAN")))))))))</f>
        <v>PENDING PREDECESSOR</v>
      </c>
    </row>
    <row r="65" customFormat="false" ht="21.75" hidden="false" customHeight="true" outlineLevel="0" collapsed="false">
      <c r="A65" s="5" t="s">
        <v>388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7" customFormat="false" ht="30" hidden="false" customHeight="true" outlineLevel="0" collapsed="false">
      <c r="A67" s="24" t="s">
        <v>389</v>
      </c>
      <c r="B67" s="24" t="s">
        <v>390</v>
      </c>
      <c r="C67" s="24"/>
      <c r="D67" s="24"/>
      <c r="E67" s="24" t="s">
        <v>391</v>
      </c>
      <c r="F67" s="24"/>
      <c r="G67" s="24" t="s">
        <v>46</v>
      </c>
      <c r="H67" s="24"/>
      <c r="I67" s="24"/>
      <c r="J67" s="24" t="s">
        <v>95</v>
      </c>
      <c r="K67" s="24"/>
      <c r="L67" s="24"/>
      <c r="M67" s="24" t="s">
        <v>392</v>
      </c>
      <c r="N67" s="24"/>
      <c r="O67" s="24"/>
      <c r="P67" s="24" t="s">
        <v>393</v>
      </c>
      <c r="Q67" s="24" t="s">
        <v>394</v>
      </c>
      <c r="R67" s="24"/>
      <c r="S67" s="24"/>
      <c r="T67" s="24" t="s">
        <v>395</v>
      </c>
      <c r="U67" s="24"/>
    </row>
    <row r="68" customFormat="false" ht="57.75" hidden="false" customHeight="true" outlineLevel="0" collapsed="false">
      <c r="A68" s="23" t="s">
        <v>396</v>
      </c>
      <c r="B68" s="43" t="s">
        <v>397</v>
      </c>
      <c r="C68" s="43"/>
      <c r="D68" s="43"/>
      <c r="E68" s="8" t="s">
        <v>398</v>
      </c>
      <c r="F68" s="8"/>
      <c r="G68" s="8" t="s">
        <v>399</v>
      </c>
      <c r="H68" s="8"/>
      <c r="I68" s="8"/>
      <c r="J68" s="8" t="s">
        <v>400</v>
      </c>
      <c r="K68" s="8"/>
      <c r="L68" s="8"/>
      <c r="M68" s="8" t="s">
        <v>401</v>
      </c>
      <c r="N68" s="8"/>
      <c r="O68" s="8"/>
      <c r="P68" s="8" t="s">
        <v>49</v>
      </c>
      <c r="Q68" s="8" t="s">
        <v>402</v>
      </c>
      <c r="R68" s="8"/>
      <c r="S68" s="8"/>
      <c r="T68" s="23" t="s">
        <v>403</v>
      </c>
      <c r="U68" s="23"/>
    </row>
    <row r="69" customFormat="false" ht="57.75" hidden="false" customHeight="true" outlineLevel="0" collapsed="false">
      <c r="A69" s="23" t="s">
        <v>404</v>
      </c>
      <c r="B69" s="43" t="s">
        <v>37</v>
      </c>
      <c r="C69" s="43"/>
      <c r="D69" s="43"/>
      <c r="E69" s="8" t="s">
        <v>405</v>
      </c>
      <c r="F69" s="8"/>
      <c r="G69" s="8" t="s">
        <v>406</v>
      </c>
      <c r="H69" s="8"/>
      <c r="I69" s="8"/>
      <c r="J69" s="8" t="s">
        <v>407</v>
      </c>
      <c r="K69" s="8"/>
      <c r="L69" s="8"/>
      <c r="M69" s="8" t="s">
        <v>111</v>
      </c>
      <c r="N69" s="8"/>
      <c r="O69" s="8"/>
      <c r="P69" s="8" t="s">
        <v>49</v>
      </c>
      <c r="Q69" s="8" t="s">
        <v>408</v>
      </c>
      <c r="R69" s="8"/>
      <c r="S69" s="8"/>
      <c r="T69" s="23" t="s">
        <v>403</v>
      </c>
      <c r="U69" s="23"/>
    </row>
    <row r="71" customFormat="false" ht="21.75" hidden="false" customHeight="true" outlineLevel="0" collapsed="false">
      <c r="A71" s="40" t="s">
        <v>409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</row>
  </sheetData>
  <autoFilter ref="A8:U63"/>
  <mergeCells count="34">
    <mergeCell ref="A1:U1"/>
    <mergeCell ref="A2:U2"/>
    <mergeCell ref="A3:U3"/>
    <mergeCell ref="A5:U5"/>
    <mergeCell ref="A6:U6"/>
    <mergeCell ref="A9:U9"/>
    <mergeCell ref="A18:U18"/>
    <mergeCell ref="A26:U26"/>
    <mergeCell ref="A34:U34"/>
    <mergeCell ref="A44:U44"/>
    <mergeCell ref="A54:U54"/>
    <mergeCell ref="A65:U65"/>
    <mergeCell ref="B67:D67"/>
    <mergeCell ref="E67:F67"/>
    <mergeCell ref="G67:I67"/>
    <mergeCell ref="J67:L67"/>
    <mergeCell ref="M67:O67"/>
    <mergeCell ref="Q67:S67"/>
    <mergeCell ref="T67:U67"/>
    <mergeCell ref="B68:D68"/>
    <mergeCell ref="E68:F68"/>
    <mergeCell ref="G68:I68"/>
    <mergeCell ref="J68:L68"/>
    <mergeCell ref="M68:O68"/>
    <mergeCell ref="Q68:S68"/>
    <mergeCell ref="T68:U68"/>
    <mergeCell ref="B69:D69"/>
    <mergeCell ref="E69:F69"/>
    <mergeCell ref="G69:I69"/>
    <mergeCell ref="J69:L69"/>
    <mergeCell ref="M69:O69"/>
    <mergeCell ref="Q69:S69"/>
    <mergeCell ref="T69:U69"/>
    <mergeCell ref="A71:U71"/>
  </mergeCells>
  <conditionalFormatting sqref="J10:J63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"At Risk"</formula>
    </cfRule>
    <cfRule type="cellIs" priority="5" operator="equal" aboveAverage="0" equalAverage="0" bottom="0" percent="0" rank="0" text="" dxfId="3">
      <formula>"In Progress"</formula>
    </cfRule>
    <cfRule type="cellIs" priority="6" operator="equal" aboveAverage="0" equalAverage="0" bottom="0" percent="0" rank="0" text="" dxfId="2">
      <formula>"Pending Approval"</formula>
    </cfRule>
    <cfRule type="cellIs" priority="7" operator="equal" aboveAverage="0" equalAverage="0" bottom="0" percent="0" rank="0" text="" dxfId="2">
      <formula>"Pending Material"</formula>
    </cfRule>
    <cfRule type="cellIs" priority="8" operator="equal" aboveAverage="0" equalAverage="0" bottom="0" percent="0" rank="0" text="" dxfId="4">
      <formula>"Ready to Start"</formula>
    </cfRule>
    <cfRule type="cellIs" priority="9" operator="equal" aboveAverage="0" equalAverage="0" bottom="0" percent="0" rank="0" text="" dxfId="5">
      <formula>"Not Started"</formula>
    </cfRule>
  </conditionalFormatting>
  <conditionalFormatting sqref="U10:U63">
    <cfRule type="cellIs" priority="10" operator="equal" aboveAverage="0" equalAverage="0" bottom="0" percent="0" rank="0" text="" dxfId="24">
      <formula>"OVERDUE"</formula>
    </cfRule>
    <cfRule type="cellIs" priority="11" operator="equal" aboveAverage="0" equalAverage="0" bottom="0" percent="0" rank="0" text="" dxfId="24">
      <formula>"BLOCKED"</formula>
    </cfRule>
    <cfRule type="cellIs" priority="12" operator="equal" aboveAverage="0" equalAverage="0" bottom="0" percent="0" rank="0" text="" dxfId="24">
      <formula>"PENDING POWER AVAILABILITY"</formula>
    </cfRule>
    <cfRule type="cellIs" priority="13" operator="equal" aboveAverage="0" equalAverage="0" bottom="0" percent="0" rank="0" text="" dxfId="25">
      <formula>"PENDING PREDECESSOR"</formula>
    </cfRule>
    <cfRule type="cellIs" priority="14" operator="equal" aboveAverage="0" equalAverage="0" bottom="0" percent="0" rank="0" text="" dxfId="25">
      <formula>"AT RISK"</formula>
    </cfRule>
    <cfRule type="cellIs" priority="15" operator="equal" aboveAverage="0" equalAverage="0" bottom="0" percent="0" rank="0" text="" dxfId="25">
      <formula>"PENDING APPROVAL"</formula>
    </cfRule>
    <cfRule type="cellIs" priority="16" operator="equal" aboveAverage="0" equalAverage="0" bottom="0" percent="0" rank="0" text="" dxfId="25">
      <formula>"PENDING MATERIAL"</formula>
    </cfRule>
    <cfRule type="cellIs" priority="17" operator="equal" aboveAverage="0" equalAverage="0" bottom="0" percent="0" rank="0" text="" dxfId="26">
      <formula>"COMPLETE"</formula>
    </cfRule>
    <cfRule type="cellIs" priority="18" operator="equal" aboveAverage="0" equalAverage="0" bottom="0" percent="0" rank="0" text="" dxfId="27">
      <formula>"IN PROGRESS"</formula>
    </cfRule>
    <cfRule type="cellIs" priority="19" operator="equal" aboveAverage="0" equalAverage="0" bottom="0" percent="0" rank="0" text="" dxfId="28">
      <formula>"READY TO START"</formula>
    </cfRule>
    <cfRule type="cellIs" priority="20" operator="equal" aboveAverage="0" equalAverage="0" bottom="0" percent="0" rank="0" text="" dxfId="29">
      <formula>"ON PLAN"</formula>
    </cfRule>
  </conditionalFormatting>
  <conditionalFormatting sqref="A10:U63">
    <cfRule type="expression" priority="21" aboveAverage="0" equalAverage="0" bottom="0" percent="0" rank="0" text="" dxfId="30">
      <formula>AND($H10&lt;&gt;"",$H10&lt;TODAY(),$J10&lt;&gt;"Completed")</formula>
    </cfRule>
  </conditionalFormatting>
  <dataValidations count="2">
    <dataValidation allowBlank="true" error="Please choose a value from the drop-down list." errorStyle="warning" errorTitle="Value not in list" operator="between" prompt="Select the current activity status." promptTitle="Status" showDropDown="false" showErrorMessage="true" showInputMessage="true" sqref="J10:J17 J19:J25 J27:J33 J35:J43 J45:J53 J55:J63" type="list">
      <formula1>"Not Started,Ready to Start,In Progress,Blocked,At Risk,Pending Approval,Pending Material,Completed"</formula1>
      <formula2>0</formula2>
    </dataValidation>
    <dataValidation allowBlank="true" error="Please choose a value from the drop-down list." errorStyle="warning" errorTitle="Value not in list" operator="between" prompt="Does this activity require a formal approval?" promptTitle="Approval Required" showDropDown="false" showErrorMessage="true" showInputMessage="true" sqref="R10:R17 R19:R25 R27:R33 R35:R43 R45:R53 R55:R63" type="list">
      <formula1>"Yes,No,TBC"</formula1>
      <formula2>0</formula2>
    </dataValidation>
  </dataValidations>
  <printOptions headings="false" gridLines="false" gridLinesSet="true" horizontalCentered="true" verticalCentered="false"/>
  <pageMargins left="0.35" right="0.35" top="0.5" bottom="0.6" header="0.511811023622047" footer="0.5"/>
  <pageSetup paperSize="8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&amp;K6b7280Confidential — Project Planning Document&amp;C&amp;8 &amp;K6b7280Prepared based on the RC Vehicle Survey Report dated 30-Jun-2026  |  Version 0.1 — Preliminary Planning Baseline&amp;R&amp;8 &amp;K6b7280Page &amp;P of &amp;N</oddFooter>
  </headerFooter>
  <rowBreaks count="1" manualBreakCount="1">
    <brk id="64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008C"/>
    <pageSetUpPr fitToPage="true"/>
  </sheetPr>
  <dimension ref="A1:Z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0" topLeftCell="I11" activePane="bottomRight" state="frozen"/>
      <selection pane="topLeft" activeCell="A1" activeCellId="0" sqref="A1"/>
      <selection pane="topRight" activeCell="I1" activeCellId="0" sqref="I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26" min="9" style="0" width="4.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6" hidden="false" customHeight="true" outlineLevel="0" collapsed="false"/>
    <row r="5" customFormat="false" ht="30" hidden="false" customHeight="true" outlineLevel="0" collapsed="false">
      <c r="A5" s="59" t="s">
        <v>410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customFormat="false" ht="15" hidden="false" customHeight="true" outlineLevel="0" collapsed="false">
      <c r="A6" s="60" t="s">
        <v>411</v>
      </c>
      <c r="B6" s="60"/>
      <c r="C6" s="60"/>
      <c r="D6" s="60"/>
      <c r="E6" s="60"/>
      <c r="F6" s="60"/>
      <c r="G6" s="60"/>
      <c r="H6" s="60"/>
      <c r="I6" s="61"/>
      <c r="J6" s="62" t="s">
        <v>412</v>
      </c>
      <c r="K6" s="62"/>
      <c r="L6" s="62"/>
      <c r="M6" s="62"/>
      <c r="N6" s="62"/>
      <c r="O6" s="63"/>
      <c r="P6" s="62" t="s">
        <v>413</v>
      </c>
      <c r="Q6" s="62"/>
      <c r="R6" s="62"/>
      <c r="S6" s="62"/>
      <c r="T6" s="62"/>
      <c r="U6" s="64"/>
      <c r="V6" s="62" t="s">
        <v>414</v>
      </c>
      <c r="W6" s="62"/>
      <c r="X6" s="62"/>
      <c r="Y6" s="62"/>
      <c r="Z6" s="62"/>
    </row>
    <row r="7" customFormat="false" ht="15" hidden="false" customHeight="true" outlineLevel="0" collapsed="false">
      <c r="A7" s="60"/>
      <c r="B7" s="60"/>
      <c r="C7" s="60"/>
      <c r="D7" s="60"/>
      <c r="E7" s="60"/>
      <c r="F7" s="60"/>
      <c r="G7" s="60"/>
      <c r="H7" s="60"/>
      <c r="I7" s="65"/>
      <c r="J7" s="62" t="s">
        <v>415</v>
      </c>
      <c r="K7" s="62"/>
      <c r="L7" s="62"/>
      <c r="M7" s="62"/>
      <c r="N7" s="62"/>
      <c r="O7" s="66"/>
      <c r="P7" s="62" t="s">
        <v>416</v>
      </c>
      <c r="Q7" s="62"/>
      <c r="R7" s="62"/>
      <c r="S7" s="62"/>
      <c r="T7" s="62"/>
      <c r="U7" s="67"/>
      <c r="V7" s="62" t="s">
        <v>87</v>
      </c>
      <c r="W7" s="62"/>
      <c r="X7" s="62"/>
      <c r="Y7" s="62"/>
      <c r="Z7" s="62"/>
    </row>
    <row r="8" customFormat="false" ht="15" hidden="false" customHeight="true" outlineLevel="0" collapsed="false">
      <c r="A8" s="60"/>
      <c r="B8" s="60"/>
      <c r="C8" s="60"/>
      <c r="D8" s="60"/>
      <c r="E8" s="60"/>
      <c r="F8" s="60"/>
      <c r="G8" s="60"/>
      <c r="H8" s="60"/>
      <c r="I8" s="68"/>
      <c r="J8" s="62" t="s">
        <v>417</v>
      </c>
      <c r="K8" s="62"/>
      <c r="L8" s="62"/>
      <c r="M8" s="62"/>
      <c r="N8" s="62"/>
      <c r="O8" s="69"/>
      <c r="P8" s="62" t="s">
        <v>418</v>
      </c>
      <c r="Q8" s="62"/>
      <c r="R8" s="62"/>
      <c r="S8" s="62"/>
      <c r="T8" s="62"/>
      <c r="U8" s="70"/>
      <c r="V8" s="70"/>
      <c r="W8" s="70"/>
      <c r="X8" s="70"/>
      <c r="Y8" s="70"/>
      <c r="Z8" s="70"/>
    </row>
    <row r="9" customFormat="false" ht="6" hidden="false" customHeight="true" outlineLevel="0" collapsed="false"/>
    <row r="10" customFormat="false" ht="33.75" hidden="false" customHeight="true" outlineLevel="0" collapsed="false">
      <c r="A10" s="24" t="s">
        <v>139</v>
      </c>
      <c r="B10" s="24" t="s">
        <v>140</v>
      </c>
      <c r="C10" s="24" t="s">
        <v>142</v>
      </c>
      <c r="D10" s="24" t="s">
        <v>141</v>
      </c>
      <c r="E10" s="24" t="s">
        <v>419</v>
      </c>
      <c r="F10" s="24" t="s">
        <v>144</v>
      </c>
      <c r="G10" s="24" t="s">
        <v>420</v>
      </c>
      <c r="H10" s="24" t="s">
        <v>421</v>
      </c>
      <c r="I10" s="71" t="n">
        <v>1</v>
      </c>
      <c r="J10" s="71" t="n">
        <v>2</v>
      </c>
      <c r="K10" s="71" t="n">
        <v>3</v>
      </c>
      <c r="L10" s="71" t="n">
        <v>4</v>
      </c>
      <c r="M10" s="71" t="n">
        <v>5</v>
      </c>
      <c r="N10" s="71" t="n">
        <v>6</v>
      </c>
      <c r="O10" s="71" t="n">
        <v>7</v>
      </c>
      <c r="P10" s="71" t="n">
        <v>8</v>
      </c>
      <c r="Q10" s="71" t="n">
        <v>9</v>
      </c>
      <c r="R10" s="71" t="n">
        <v>10</v>
      </c>
      <c r="S10" s="71" t="n">
        <v>11</v>
      </c>
      <c r="T10" s="71" t="n">
        <v>12</v>
      </c>
      <c r="U10" s="71" t="n">
        <v>13</v>
      </c>
      <c r="V10" s="71" t="n">
        <v>14</v>
      </c>
      <c r="W10" s="71" t="n">
        <v>15</v>
      </c>
      <c r="X10" s="71" t="n">
        <v>16</v>
      </c>
      <c r="Y10" s="71" t="n">
        <v>17</v>
      </c>
      <c r="Z10" s="71" t="n">
        <v>18</v>
      </c>
    </row>
    <row r="11" customFormat="false" ht="19.5" hidden="false" customHeight="true" outlineLevel="0" collapsed="false">
      <c r="A11" s="72" t="s">
        <v>422</v>
      </c>
      <c r="B11" s="72"/>
      <c r="C11" s="72"/>
      <c r="D11" s="73" t="s">
        <v>412</v>
      </c>
      <c r="E11" s="74" t="s">
        <v>423</v>
      </c>
      <c r="F11" s="73" t="s">
        <v>162</v>
      </c>
      <c r="G11" s="73" t="n">
        <v>1</v>
      </c>
      <c r="H11" s="73" t="n">
        <v>2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customFormat="false" ht="15" hidden="false" customHeight="true" outlineLevel="0" collapsed="false">
      <c r="A12" s="76" t="n">
        <v>1</v>
      </c>
      <c r="B12" s="76" t="s">
        <v>158</v>
      </c>
      <c r="C12" s="77" t="s">
        <v>160</v>
      </c>
      <c r="D12" s="76" t="s">
        <v>412</v>
      </c>
      <c r="E12" s="78" t="s">
        <v>162</v>
      </c>
      <c r="F12" s="76" t="s">
        <v>162</v>
      </c>
      <c r="G12" s="76" t="n">
        <v>1</v>
      </c>
      <c r="H12" s="76" t="n">
        <v>1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customFormat="false" ht="15" hidden="false" customHeight="true" outlineLevel="0" collapsed="false">
      <c r="A13" s="76" t="n">
        <v>2</v>
      </c>
      <c r="B13" s="76" t="s">
        <v>166</v>
      </c>
      <c r="C13" s="77" t="s">
        <v>167</v>
      </c>
      <c r="D13" s="76" t="s">
        <v>412</v>
      </c>
      <c r="E13" s="78" t="s">
        <v>162</v>
      </c>
      <c r="F13" s="76" t="s">
        <v>162</v>
      </c>
      <c r="G13" s="76"/>
      <c r="H13" s="76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customFormat="false" ht="15" hidden="false" customHeight="true" outlineLevel="0" collapsed="false">
      <c r="A14" s="76" t="n">
        <v>3</v>
      </c>
      <c r="B14" s="76" t="s">
        <v>171</v>
      </c>
      <c r="C14" s="77" t="s">
        <v>172</v>
      </c>
      <c r="D14" s="76" t="s">
        <v>412</v>
      </c>
      <c r="E14" s="78" t="s">
        <v>162</v>
      </c>
      <c r="F14" s="76" t="s">
        <v>166</v>
      </c>
      <c r="G14" s="76" t="n">
        <v>1</v>
      </c>
      <c r="H14" s="76" t="n">
        <v>1</v>
      </c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customFormat="false" ht="15" hidden="false" customHeight="true" outlineLevel="0" collapsed="false">
      <c r="A15" s="76" t="n">
        <v>4</v>
      </c>
      <c r="B15" s="76" t="s">
        <v>176</v>
      </c>
      <c r="C15" s="77" t="s">
        <v>177</v>
      </c>
      <c r="D15" s="76" t="s">
        <v>412</v>
      </c>
      <c r="E15" s="78" t="s">
        <v>162</v>
      </c>
      <c r="F15" s="76" t="s">
        <v>171</v>
      </c>
      <c r="G15" s="76" t="n">
        <v>1</v>
      </c>
      <c r="H15" s="76" t="n">
        <v>2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customFormat="false" ht="15" hidden="false" customHeight="true" outlineLevel="0" collapsed="false">
      <c r="A16" s="76" t="n">
        <v>5</v>
      </c>
      <c r="B16" s="76" t="s">
        <v>181</v>
      </c>
      <c r="C16" s="77" t="s">
        <v>182</v>
      </c>
      <c r="D16" s="76" t="s">
        <v>412</v>
      </c>
      <c r="E16" s="78" t="s">
        <v>162</v>
      </c>
      <c r="F16" s="76" t="s">
        <v>158</v>
      </c>
      <c r="G16" s="76" t="n">
        <v>1</v>
      </c>
      <c r="H16" s="76" t="n">
        <v>2</v>
      </c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customFormat="false" ht="15" hidden="false" customHeight="true" outlineLevel="0" collapsed="false">
      <c r="A17" s="76" t="n">
        <v>6</v>
      </c>
      <c r="B17" s="76" t="s">
        <v>187</v>
      </c>
      <c r="C17" s="77" t="s">
        <v>188</v>
      </c>
      <c r="D17" s="76" t="s">
        <v>412</v>
      </c>
      <c r="E17" s="78" t="s">
        <v>162</v>
      </c>
      <c r="F17" s="76" t="s">
        <v>176</v>
      </c>
      <c r="G17" s="76" t="n">
        <v>2</v>
      </c>
      <c r="H17" s="76" t="n">
        <v>2</v>
      </c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customFormat="false" ht="15" hidden="false" customHeight="true" outlineLevel="0" collapsed="false">
      <c r="A18" s="76" t="n">
        <v>7</v>
      </c>
      <c r="B18" s="76" t="s">
        <v>193</v>
      </c>
      <c r="C18" s="77" t="s">
        <v>194</v>
      </c>
      <c r="D18" s="76" t="s">
        <v>412</v>
      </c>
      <c r="E18" s="78" t="s">
        <v>162</v>
      </c>
      <c r="F18" s="76" t="s">
        <v>187</v>
      </c>
      <c r="G18" s="76" t="n">
        <v>2</v>
      </c>
      <c r="H18" s="76" t="n">
        <v>2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customFormat="false" ht="15" hidden="false" customHeight="true" outlineLevel="0" collapsed="false">
      <c r="A19" s="76" t="n">
        <v>8</v>
      </c>
      <c r="B19" s="76" t="s">
        <v>197</v>
      </c>
      <c r="C19" s="77" t="s">
        <v>198</v>
      </c>
      <c r="D19" s="76" t="s">
        <v>412</v>
      </c>
      <c r="E19" s="78" t="s">
        <v>162</v>
      </c>
      <c r="F19" s="76" t="s">
        <v>193</v>
      </c>
      <c r="G19" s="76" t="n">
        <v>2</v>
      </c>
      <c r="H19" s="76" t="n">
        <v>2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customFormat="false" ht="19.5" hidden="false" customHeight="true" outlineLevel="0" collapsed="false">
      <c r="A20" s="72" t="s">
        <v>424</v>
      </c>
      <c r="B20" s="72"/>
      <c r="C20" s="72"/>
      <c r="D20" s="73" t="s">
        <v>413</v>
      </c>
      <c r="E20" s="74" t="s">
        <v>423</v>
      </c>
      <c r="F20" s="73" t="s">
        <v>162</v>
      </c>
      <c r="G20" s="73" t="n">
        <v>1</v>
      </c>
      <c r="H20" s="73" t="n">
        <v>6</v>
      </c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customFormat="false" ht="15" hidden="false" customHeight="true" outlineLevel="0" collapsed="false">
      <c r="A21" s="76" t="n">
        <v>9</v>
      </c>
      <c r="B21" s="76" t="s">
        <v>203</v>
      </c>
      <c r="C21" s="77" t="s">
        <v>59</v>
      </c>
      <c r="D21" s="76" t="s">
        <v>413</v>
      </c>
      <c r="E21" s="79" t="s">
        <v>425</v>
      </c>
      <c r="F21" s="76" t="s">
        <v>162</v>
      </c>
      <c r="G21" s="76" t="n">
        <v>1</v>
      </c>
      <c r="H21" s="76" t="n">
        <v>4</v>
      </c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customFormat="false" ht="15" hidden="false" customHeight="true" outlineLevel="0" collapsed="false">
      <c r="A22" s="76" t="n">
        <v>10</v>
      </c>
      <c r="B22" s="76" t="s">
        <v>210</v>
      </c>
      <c r="C22" s="80" t="s">
        <v>211</v>
      </c>
      <c r="D22" s="76" t="s">
        <v>413</v>
      </c>
      <c r="E22" s="81" t="s">
        <v>426</v>
      </c>
      <c r="F22" s="76" t="s">
        <v>203</v>
      </c>
      <c r="G22" s="76" t="n">
        <v>4</v>
      </c>
      <c r="H22" s="76" t="n">
        <v>5</v>
      </c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customFormat="false" ht="15" hidden="false" customHeight="true" outlineLevel="0" collapsed="false">
      <c r="A23" s="76" t="n">
        <v>11</v>
      </c>
      <c r="B23" s="76" t="s">
        <v>216</v>
      </c>
      <c r="C23" s="77" t="s">
        <v>217</v>
      </c>
      <c r="D23" s="76" t="s">
        <v>413</v>
      </c>
      <c r="E23" s="78" t="s">
        <v>162</v>
      </c>
      <c r="F23" s="76" t="s">
        <v>197</v>
      </c>
      <c r="G23" s="76" t="n">
        <v>2</v>
      </c>
      <c r="H23" s="76" t="n">
        <v>3</v>
      </c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customFormat="false" ht="15" hidden="false" customHeight="true" outlineLevel="0" collapsed="false">
      <c r="A24" s="76" t="n">
        <v>12</v>
      </c>
      <c r="B24" s="76" t="s">
        <v>220</v>
      </c>
      <c r="C24" s="77" t="s">
        <v>221</v>
      </c>
      <c r="D24" s="76" t="s">
        <v>413</v>
      </c>
      <c r="E24" s="79" t="s">
        <v>425</v>
      </c>
      <c r="F24" s="76" t="s">
        <v>216</v>
      </c>
      <c r="G24" s="76" t="n">
        <v>3</v>
      </c>
      <c r="H24" s="76" t="n">
        <v>6</v>
      </c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customFormat="false" ht="15" hidden="false" customHeight="true" outlineLevel="0" collapsed="false">
      <c r="A25" s="76" t="n">
        <v>13</v>
      </c>
      <c r="B25" s="76" t="s">
        <v>226</v>
      </c>
      <c r="C25" s="77" t="s">
        <v>227</v>
      </c>
      <c r="D25" s="76" t="s">
        <v>413</v>
      </c>
      <c r="E25" s="79" t="s">
        <v>425</v>
      </c>
      <c r="F25" s="76" t="s">
        <v>220</v>
      </c>
      <c r="G25" s="76" t="n">
        <v>6</v>
      </c>
      <c r="H25" s="76" t="n">
        <v>6</v>
      </c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customFormat="false" ht="15" hidden="false" customHeight="true" outlineLevel="0" collapsed="false">
      <c r="A26" s="76" t="n">
        <v>14</v>
      </c>
      <c r="B26" s="76" t="s">
        <v>232</v>
      </c>
      <c r="C26" s="77" t="s">
        <v>233</v>
      </c>
      <c r="D26" s="76" t="s">
        <v>413</v>
      </c>
      <c r="E26" s="78" t="s">
        <v>162</v>
      </c>
      <c r="F26" s="76" t="s">
        <v>193</v>
      </c>
      <c r="G26" s="76" t="n">
        <v>2</v>
      </c>
      <c r="H26" s="76" t="n">
        <v>3</v>
      </c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customFormat="false" ht="15" hidden="false" customHeight="true" outlineLevel="0" collapsed="false">
      <c r="A27" s="76" t="n">
        <v>15</v>
      </c>
      <c r="B27" s="76" t="s">
        <v>236</v>
      </c>
      <c r="C27" s="77" t="s">
        <v>237</v>
      </c>
      <c r="D27" s="76" t="s">
        <v>413</v>
      </c>
      <c r="E27" s="78" t="s">
        <v>162</v>
      </c>
      <c r="F27" s="76" t="s">
        <v>158</v>
      </c>
      <c r="G27" s="76" t="n">
        <v>2</v>
      </c>
      <c r="H27" s="76" t="n">
        <v>3</v>
      </c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customFormat="false" ht="19.5" hidden="false" customHeight="true" outlineLevel="0" collapsed="false">
      <c r="A28" s="72" t="s">
        <v>427</v>
      </c>
      <c r="B28" s="72"/>
      <c r="C28" s="72"/>
      <c r="D28" s="73" t="s">
        <v>414</v>
      </c>
      <c r="E28" s="74" t="s">
        <v>423</v>
      </c>
      <c r="F28" s="73" t="s">
        <v>162</v>
      </c>
      <c r="G28" s="73" t="n">
        <v>2</v>
      </c>
      <c r="H28" s="73" t="n">
        <v>8</v>
      </c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customFormat="false" ht="15" hidden="false" customHeight="true" outlineLevel="0" collapsed="false">
      <c r="A29" s="76" t="n">
        <v>16</v>
      </c>
      <c r="B29" s="76" t="s">
        <v>242</v>
      </c>
      <c r="C29" s="77" t="s">
        <v>244</v>
      </c>
      <c r="D29" s="76" t="s">
        <v>414</v>
      </c>
      <c r="E29" s="78" t="s">
        <v>162</v>
      </c>
      <c r="F29" s="76" t="s">
        <v>176</v>
      </c>
      <c r="G29" s="76" t="n">
        <v>2</v>
      </c>
      <c r="H29" s="76" t="n">
        <v>3</v>
      </c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customFormat="false" ht="15" hidden="false" customHeight="true" outlineLevel="0" collapsed="false">
      <c r="A30" s="76" t="n">
        <v>17</v>
      </c>
      <c r="B30" s="76" t="s">
        <v>247</v>
      </c>
      <c r="C30" s="77" t="s">
        <v>248</v>
      </c>
      <c r="D30" s="76" t="s">
        <v>414</v>
      </c>
      <c r="E30" s="78" t="s">
        <v>162</v>
      </c>
      <c r="F30" s="76" t="s">
        <v>176</v>
      </c>
      <c r="G30" s="76" t="n">
        <v>2</v>
      </c>
      <c r="H30" s="76" t="n">
        <v>3</v>
      </c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customFormat="false" ht="15" hidden="false" customHeight="true" outlineLevel="0" collapsed="false">
      <c r="A31" s="76" t="n">
        <v>18</v>
      </c>
      <c r="B31" s="76" t="s">
        <v>251</v>
      </c>
      <c r="C31" s="77" t="s">
        <v>252</v>
      </c>
      <c r="D31" s="76" t="s">
        <v>414</v>
      </c>
      <c r="E31" s="78" t="s">
        <v>162</v>
      </c>
      <c r="F31" s="76" t="s">
        <v>242</v>
      </c>
      <c r="G31" s="76" t="n">
        <v>3</v>
      </c>
      <c r="H31" s="76" t="n">
        <v>4</v>
      </c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customFormat="false" ht="15" hidden="false" customHeight="true" outlineLevel="0" collapsed="false">
      <c r="A32" s="76" t="n">
        <v>19</v>
      </c>
      <c r="B32" s="76" t="s">
        <v>256</v>
      </c>
      <c r="C32" s="77" t="s">
        <v>257</v>
      </c>
      <c r="D32" s="76" t="s">
        <v>414</v>
      </c>
      <c r="E32" s="78" t="s">
        <v>162</v>
      </c>
      <c r="F32" s="76" t="s">
        <v>251</v>
      </c>
      <c r="G32" s="76" t="n">
        <v>3</v>
      </c>
      <c r="H32" s="76" t="n">
        <v>4</v>
      </c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customFormat="false" ht="15" hidden="false" customHeight="true" outlineLevel="0" collapsed="false">
      <c r="A33" s="76" t="n">
        <v>20</v>
      </c>
      <c r="B33" s="76" t="s">
        <v>260</v>
      </c>
      <c r="C33" s="77" t="s">
        <v>261</v>
      </c>
      <c r="D33" s="76" t="s">
        <v>414</v>
      </c>
      <c r="E33" s="79" t="s">
        <v>425</v>
      </c>
      <c r="F33" s="76" t="s">
        <v>256</v>
      </c>
      <c r="G33" s="76" t="n">
        <v>5</v>
      </c>
      <c r="H33" s="76" t="n">
        <v>5</v>
      </c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customFormat="false" ht="15" hidden="false" customHeight="true" outlineLevel="0" collapsed="false">
      <c r="A34" s="76" t="n">
        <v>21</v>
      </c>
      <c r="B34" s="76" t="s">
        <v>266</v>
      </c>
      <c r="C34" s="77" t="s">
        <v>267</v>
      </c>
      <c r="D34" s="76" t="s">
        <v>414</v>
      </c>
      <c r="E34" s="79" t="s">
        <v>425</v>
      </c>
      <c r="F34" s="76" t="s">
        <v>260</v>
      </c>
      <c r="G34" s="76" t="n">
        <v>5</v>
      </c>
      <c r="H34" s="76" t="n">
        <v>6</v>
      </c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customFormat="false" ht="15" hidden="false" customHeight="true" outlineLevel="0" collapsed="false">
      <c r="A35" s="76" t="n">
        <v>22</v>
      </c>
      <c r="B35" s="76" t="s">
        <v>270</v>
      </c>
      <c r="C35" s="77" t="s">
        <v>271</v>
      </c>
      <c r="D35" s="76" t="s">
        <v>414</v>
      </c>
      <c r="E35" s="79" t="s">
        <v>425</v>
      </c>
      <c r="F35" s="76" t="s">
        <v>266</v>
      </c>
      <c r="G35" s="76" t="n">
        <v>6</v>
      </c>
      <c r="H35" s="76" t="n">
        <v>8</v>
      </c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customFormat="false" ht="19.5" hidden="false" customHeight="true" outlineLevel="0" collapsed="false">
      <c r="A36" s="72" t="s">
        <v>428</v>
      </c>
      <c r="B36" s="72"/>
      <c r="C36" s="72"/>
      <c r="D36" s="73" t="s">
        <v>415</v>
      </c>
      <c r="E36" s="74" t="s">
        <v>423</v>
      </c>
      <c r="F36" s="73" t="s">
        <v>162</v>
      </c>
      <c r="G36" s="73" t="n">
        <v>8</v>
      </c>
      <c r="H36" s="73" t="n">
        <v>12</v>
      </c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customFormat="false" ht="15" hidden="false" customHeight="true" outlineLevel="0" collapsed="false">
      <c r="A37" s="76" t="n">
        <v>23</v>
      </c>
      <c r="B37" s="76" t="s">
        <v>276</v>
      </c>
      <c r="C37" s="77" t="s">
        <v>278</v>
      </c>
      <c r="D37" s="76" t="s">
        <v>415</v>
      </c>
      <c r="E37" s="79" t="s">
        <v>425</v>
      </c>
      <c r="F37" s="76" t="s">
        <v>270</v>
      </c>
      <c r="G37" s="76" t="n">
        <v>8</v>
      </c>
      <c r="H37" s="76" t="n">
        <v>9</v>
      </c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customFormat="false" ht="15" hidden="false" customHeight="true" outlineLevel="0" collapsed="false">
      <c r="A38" s="76" t="n">
        <v>24</v>
      </c>
      <c r="B38" s="76" t="s">
        <v>281</v>
      </c>
      <c r="C38" s="77" t="s">
        <v>282</v>
      </c>
      <c r="D38" s="76" t="s">
        <v>415</v>
      </c>
      <c r="E38" s="78" t="s">
        <v>162</v>
      </c>
      <c r="F38" s="76" t="s">
        <v>276</v>
      </c>
      <c r="G38" s="76" t="n">
        <v>9</v>
      </c>
      <c r="H38" s="76" t="n">
        <v>10</v>
      </c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customFormat="false" ht="15" hidden="false" customHeight="true" outlineLevel="0" collapsed="false">
      <c r="A39" s="76" t="n">
        <v>25</v>
      </c>
      <c r="B39" s="76" t="s">
        <v>285</v>
      </c>
      <c r="C39" s="77" t="s">
        <v>286</v>
      </c>
      <c r="D39" s="76" t="s">
        <v>415</v>
      </c>
      <c r="E39" s="78" t="s">
        <v>162</v>
      </c>
      <c r="F39" s="76" t="s">
        <v>276</v>
      </c>
      <c r="G39" s="76" t="n">
        <v>9</v>
      </c>
      <c r="H39" s="76" t="n">
        <v>10</v>
      </c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customFormat="false" ht="15" hidden="false" customHeight="true" outlineLevel="0" collapsed="false">
      <c r="A40" s="76" t="n">
        <v>26</v>
      </c>
      <c r="B40" s="76" t="s">
        <v>288</v>
      </c>
      <c r="C40" s="77" t="s">
        <v>289</v>
      </c>
      <c r="D40" s="76" t="s">
        <v>415</v>
      </c>
      <c r="E40" s="79" t="s">
        <v>425</v>
      </c>
      <c r="F40" s="76" t="s">
        <v>270</v>
      </c>
      <c r="G40" s="76" t="n">
        <v>8</v>
      </c>
      <c r="H40" s="76" t="n">
        <v>10</v>
      </c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customFormat="false" ht="15" hidden="false" customHeight="true" outlineLevel="0" collapsed="false">
      <c r="A41" s="76" t="n">
        <v>27</v>
      </c>
      <c r="B41" s="76" t="s">
        <v>291</v>
      </c>
      <c r="C41" s="77" t="s">
        <v>292</v>
      </c>
      <c r="D41" s="76" t="s">
        <v>415</v>
      </c>
      <c r="E41" s="78" t="s">
        <v>162</v>
      </c>
      <c r="F41" s="76" t="s">
        <v>288</v>
      </c>
      <c r="G41" s="76" t="n">
        <v>10</v>
      </c>
      <c r="H41" s="76" t="n">
        <v>11</v>
      </c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customFormat="false" ht="15" hidden="false" customHeight="true" outlineLevel="0" collapsed="false">
      <c r="A42" s="76" t="n">
        <v>28</v>
      </c>
      <c r="B42" s="76" t="s">
        <v>295</v>
      </c>
      <c r="C42" s="77" t="s">
        <v>296</v>
      </c>
      <c r="D42" s="76" t="s">
        <v>415</v>
      </c>
      <c r="E42" s="78" t="s">
        <v>162</v>
      </c>
      <c r="F42" s="76" t="s">
        <v>291</v>
      </c>
      <c r="G42" s="76" t="n">
        <v>10</v>
      </c>
      <c r="H42" s="76" t="n">
        <v>11</v>
      </c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customFormat="false" ht="15" hidden="false" customHeight="true" outlineLevel="0" collapsed="false">
      <c r="A43" s="76" t="n">
        <v>29</v>
      </c>
      <c r="B43" s="76" t="s">
        <v>299</v>
      </c>
      <c r="C43" s="77" t="s">
        <v>300</v>
      </c>
      <c r="D43" s="76" t="s">
        <v>415</v>
      </c>
      <c r="E43" s="79" t="s">
        <v>425</v>
      </c>
      <c r="F43" s="76" t="s">
        <v>226</v>
      </c>
      <c r="G43" s="76" t="n">
        <v>11</v>
      </c>
      <c r="H43" s="76" t="n">
        <v>11</v>
      </c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customFormat="false" ht="15" hidden="false" customHeight="true" outlineLevel="0" collapsed="false">
      <c r="A44" s="76" t="n">
        <v>30</v>
      </c>
      <c r="B44" s="76" t="s">
        <v>303</v>
      </c>
      <c r="C44" s="80" t="s">
        <v>304</v>
      </c>
      <c r="D44" s="76" t="s">
        <v>415</v>
      </c>
      <c r="E44" s="81" t="s">
        <v>426</v>
      </c>
      <c r="F44" s="76" t="s">
        <v>210</v>
      </c>
      <c r="G44" s="76" t="n">
        <v>11</v>
      </c>
      <c r="H44" s="76" t="n">
        <v>12</v>
      </c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customFormat="false" ht="15" hidden="false" customHeight="true" outlineLevel="0" collapsed="false">
      <c r="A45" s="76" t="n">
        <v>31</v>
      </c>
      <c r="B45" s="76" t="s">
        <v>308</v>
      </c>
      <c r="C45" s="77" t="s">
        <v>309</v>
      </c>
      <c r="D45" s="76" t="s">
        <v>415</v>
      </c>
      <c r="E45" s="79" t="s">
        <v>425</v>
      </c>
      <c r="F45" s="76" t="s">
        <v>303</v>
      </c>
      <c r="G45" s="76" t="n">
        <v>12</v>
      </c>
      <c r="H45" s="76" t="n">
        <v>12</v>
      </c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customFormat="false" ht="19.5" hidden="false" customHeight="true" outlineLevel="0" collapsed="false">
      <c r="A46" s="72" t="s">
        <v>429</v>
      </c>
      <c r="B46" s="72"/>
      <c r="C46" s="72"/>
      <c r="D46" s="73" t="s">
        <v>430</v>
      </c>
      <c r="E46" s="74" t="s">
        <v>423</v>
      </c>
      <c r="F46" s="73" t="s">
        <v>162</v>
      </c>
      <c r="G46" s="73" t="n">
        <v>12</v>
      </c>
      <c r="H46" s="73" t="n">
        <v>16</v>
      </c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customFormat="false" ht="15" hidden="false" customHeight="true" outlineLevel="0" collapsed="false">
      <c r="A47" s="76" t="n">
        <v>32</v>
      </c>
      <c r="B47" s="76" t="s">
        <v>314</v>
      </c>
      <c r="C47" s="77" t="s">
        <v>316</v>
      </c>
      <c r="D47" s="76" t="s">
        <v>430</v>
      </c>
      <c r="E47" s="78" t="s">
        <v>162</v>
      </c>
      <c r="F47" s="76" t="s">
        <v>308</v>
      </c>
      <c r="G47" s="76" t="n">
        <v>12</v>
      </c>
      <c r="H47" s="76" t="n">
        <v>12</v>
      </c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customFormat="false" ht="15" hidden="false" customHeight="true" outlineLevel="0" collapsed="false">
      <c r="A48" s="76" t="n">
        <v>33</v>
      </c>
      <c r="B48" s="76" t="s">
        <v>319</v>
      </c>
      <c r="C48" s="77" t="s">
        <v>320</v>
      </c>
      <c r="D48" s="76" t="s">
        <v>430</v>
      </c>
      <c r="E48" s="78" t="s">
        <v>162</v>
      </c>
      <c r="F48" s="76" t="s">
        <v>314</v>
      </c>
      <c r="G48" s="76" t="n">
        <v>12</v>
      </c>
      <c r="H48" s="76" t="n">
        <v>12</v>
      </c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customFormat="false" ht="15" hidden="false" customHeight="true" outlineLevel="0" collapsed="false">
      <c r="A49" s="76" t="n">
        <v>34</v>
      </c>
      <c r="B49" s="76" t="s">
        <v>324</v>
      </c>
      <c r="C49" s="77" t="s">
        <v>325</v>
      </c>
      <c r="D49" s="76" t="s">
        <v>430</v>
      </c>
      <c r="E49" s="78" t="s">
        <v>162</v>
      </c>
      <c r="F49" s="76" t="s">
        <v>319</v>
      </c>
      <c r="G49" s="76" t="n">
        <v>13</v>
      </c>
      <c r="H49" s="76" t="n">
        <v>13</v>
      </c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customFormat="false" ht="15" hidden="false" customHeight="true" outlineLevel="0" collapsed="false">
      <c r="A50" s="76" t="n">
        <v>35</v>
      </c>
      <c r="B50" s="76" t="s">
        <v>328</v>
      </c>
      <c r="C50" s="77" t="s">
        <v>329</v>
      </c>
      <c r="D50" s="76" t="s">
        <v>430</v>
      </c>
      <c r="E50" s="78" t="s">
        <v>162</v>
      </c>
      <c r="F50" s="76" t="s">
        <v>319</v>
      </c>
      <c r="G50" s="76" t="n">
        <v>13</v>
      </c>
      <c r="H50" s="76" t="n">
        <v>13</v>
      </c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customFormat="false" ht="15" hidden="false" customHeight="true" outlineLevel="0" collapsed="false">
      <c r="A51" s="76" t="n">
        <v>36</v>
      </c>
      <c r="B51" s="76" t="s">
        <v>330</v>
      </c>
      <c r="C51" s="77" t="s">
        <v>331</v>
      </c>
      <c r="D51" s="76" t="s">
        <v>430</v>
      </c>
      <c r="E51" s="79" t="s">
        <v>425</v>
      </c>
      <c r="F51" s="76" t="s">
        <v>324</v>
      </c>
      <c r="G51" s="76" t="n">
        <v>14</v>
      </c>
      <c r="H51" s="76" t="n">
        <v>14</v>
      </c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customFormat="false" ht="15" hidden="false" customHeight="true" outlineLevel="0" collapsed="false">
      <c r="A52" s="76" t="n">
        <v>37</v>
      </c>
      <c r="B52" s="76" t="s">
        <v>335</v>
      </c>
      <c r="C52" s="77" t="s">
        <v>336</v>
      </c>
      <c r="D52" s="76" t="s">
        <v>430</v>
      </c>
      <c r="E52" s="78" t="s">
        <v>162</v>
      </c>
      <c r="F52" s="76" t="s">
        <v>330</v>
      </c>
      <c r="G52" s="76" t="n">
        <v>14</v>
      </c>
      <c r="H52" s="76" t="n">
        <v>14</v>
      </c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customFormat="false" ht="15" hidden="false" customHeight="true" outlineLevel="0" collapsed="false">
      <c r="A53" s="76" t="n">
        <v>38</v>
      </c>
      <c r="B53" s="76" t="s">
        <v>339</v>
      </c>
      <c r="C53" s="77" t="s">
        <v>340</v>
      </c>
      <c r="D53" s="76" t="s">
        <v>430</v>
      </c>
      <c r="E53" s="78" t="s">
        <v>162</v>
      </c>
      <c r="F53" s="76" t="s">
        <v>335</v>
      </c>
      <c r="G53" s="76" t="n">
        <v>15</v>
      </c>
      <c r="H53" s="76" t="n">
        <v>15</v>
      </c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customFormat="false" ht="15" hidden="false" customHeight="true" outlineLevel="0" collapsed="false">
      <c r="A54" s="76" t="n">
        <v>39</v>
      </c>
      <c r="B54" s="76" t="s">
        <v>343</v>
      </c>
      <c r="C54" s="77" t="s">
        <v>344</v>
      </c>
      <c r="D54" s="76" t="s">
        <v>430</v>
      </c>
      <c r="E54" s="78" t="s">
        <v>162</v>
      </c>
      <c r="F54" s="76" t="s">
        <v>339</v>
      </c>
      <c r="G54" s="76" t="n">
        <v>15</v>
      </c>
      <c r="H54" s="76" t="n">
        <v>15</v>
      </c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customFormat="false" ht="15" hidden="false" customHeight="true" outlineLevel="0" collapsed="false">
      <c r="A55" s="76" t="n">
        <v>40</v>
      </c>
      <c r="B55" s="76" t="s">
        <v>347</v>
      </c>
      <c r="C55" s="77" t="s">
        <v>348</v>
      </c>
      <c r="D55" s="76" t="s">
        <v>430</v>
      </c>
      <c r="E55" s="78" t="s">
        <v>162</v>
      </c>
      <c r="F55" s="76" t="s">
        <v>343</v>
      </c>
      <c r="G55" s="76" t="n">
        <v>16</v>
      </c>
      <c r="H55" s="76" t="n">
        <v>16</v>
      </c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customFormat="false" ht="19.5" hidden="false" customHeight="true" outlineLevel="0" collapsed="false">
      <c r="A56" s="72" t="s">
        <v>431</v>
      </c>
      <c r="B56" s="72"/>
      <c r="C56" s="72"/>
      <c r="D56" s="73" t="s">
        <v>87</v>
      </c>
      <c r="E56" s="74" t="s">
        <v>423</v>
      </c>
      <c r="F56" s="73" t="s">
        <v>162</v>
      </c>
      <c r="G56" s="73" t="n">
        <v>16</v>
      </c>
      <c r="H56" s="73" t="n">
        <v>18</v>
      </c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customFormat="false" ht="15" hidden="false" customHeight="true" outlineLevel="0" collapsed="false">
      <c r="A57" s="76" t="n">
        <v>41</v>
      </c>
      <c r="B57" s="76" t="s">
        <v>352</v>
      </c>
      <c r="C57" s="77" t="s">
        <v>354</v>
      </c>
      <c r="D57" s="76" t="s">
        <v>87</v>
      </c>
      <c r="E57" s="78" t="s">
        <v>162</v>
      </c>
      <c r="F57" s="76" t="s">
        <v>347</v>
      </c>
      <c r="G57" s="76" t="n">
        <v>16</v>
      </c>
      <c r="H57" s="76" t="n">
        <v>16</v>
      </c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customFormat="false" ht="15" hidden="false" customHeight="true" outlineLevel="0" collapsed="false">
      <c r="A58" s="76" t="n">
        <v>42</v>
      </c>
      <c r="B58" s="76" t="s">
        <v>357</v>
      </c>
      <c r="C58" s="77" t="s">
        <v>358</v>
      </c>
      <c r="D58" s="76" t="s">
        <v>87</v>
      </c>
      <c r="E58" s="78" t="s">
        <v>162</v>
      </c>
      <c r="F58" s="76" t="s">
        <v>352</v>
      </c>
      <c r="G58" s="76" t="n">
        <v>16</v>
      </c>
      <c r="H58" s="76" t="n">
        <v>16</v>
      </c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customFormat="false" ht="15" hidden="false" customHeight="true" outlineLevel="0" collapsed="false">
      <c r="A59" s="76" t="n">
        <v>43</v>
      </c>
      <c r="B59" s="76" t="s">
        <v>361</v>
      </c>
      <c r="C59" s="77" t="s">
        <v>362</v>
      </c>
      <c r="D59" s="76" t="s">
        <v>87</v>
      </c>
      <c r="E59" s="78" t="s">
        <v>162</v>
      </c>
      <c r="F59" s="76" t="s">
        <v>357</v>
      </c>
      <c r="G59" s="76" t="n">
        <v>16</v>
      </c>
      <c r="H59" s="76" t="n">
        <v>17</v>
      </c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customFormat="false" ht="15" hidden="false" customHeight="true" outlineLevel="0" collapsed="false">
      <c r="A60" s="76" t="n">
        <v>44</v>
      </c>
      <c r="B60" s="76" t="s">
        <v>365</v>
      </c>
      <c r="C60" s="77" t="s">
        <v>366</v>
      </c>
      <c r="D60" s="76" t="s">
        <v>87</v>
      </c>
      <c r="E60" s="78" t="s">
        <v>162</v>
      </c>
      <c r="F60" s="76" t="s">
        <v>347</v>
      </c>
      <c r="G60" s="76" t="n">
        <v>17</v>
      </c>
      <c r="H60" s="76" t="n">
        <v>17</v>
      </c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customFormat="false" ht="15" hidden="false" customHeight="true" outlineLevel="0" collapsed="false">
      <c r="A61" s="76" t="n">
        <v>45</v>
      </c>
      <c r="B61" s="76" t="s">
        <v>368</v>
      </c>
      <c r="C61" s="77" t="s">
        <v>369</v>
      </c>
      <c r="D61" s="76" t="s">
        <v>87</v>
      </c>
      <c r="E61" s="78" t="s">
        <v>162</v>
      </c>
      <c r="F61" s="76" t="s">
        <v>361</v>
      </c>
      <c r="G61" s="76" t="n">
        <v>17</v>
      </c>
      <c r="H61" s="76" t="n">
        <v>17</v>
      </c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customFormat="false" ht="15" hidden="false" customHeight="true" outlineLevel="0" collapsed="false">
      <c r="A62" s="76" t="n">
        <v>46</v>
      </c>
      <c r="B62" s="76" t="s">
        <v>372</v>
      </c>
      <c r="C62" s="77" t="s">
        <v>373</v>
      </c>
      <c r="D62" s="76" t="s">
        <v>87</v>
      </c>
      <c r="E62" s="78" t="s">
        <v>162</v>
      </c>
      <c r="F62" s="76" t="s">
        <v>368</v>
      </c>
      <c r="G62" s="76" t="n">
        <v>17</v>
      </c>
      <c r="H62" s="76" t="n">
        <v>17</v>
      </c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customFormat="false" ht="15" hidden="false" customHeight="true" outlineLevel="0" collapsed="false">
      <c r="A63" s="76" t="n">
        <v>47</v>
      </c>
      <c r="B63" s="76" t="s">
        <v>376</v>
      </c>
      <c r="C63" s="77" t="s">
        <v>377</v>
      </c>
      <c r="D63" s="76" t="s">
        <v>87</v>
      </c>
      <c r="E63" s="79" t="s">
        <v>425</v>
      </c>
      <c r="F63" s="76" t="s">
        <v>372</v>
      </c>
      <c r="G63" s="76" t="n">
        <v>18</v>
      </c>
      <c r="H63" s="76" t="n">
        <v>18</v>
      </c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customFormat="false" ht="15" hidden="false" customHeight="true" outlineLevel="0" collapsed="false">
      <c r="A64" s="76" t="n">
        <v>48</v>
      </c>
      <c r="B64" s="76" t="s">
        <v>379</v>
      </c>
      <c r="C64" s="77" t="s">
        <v>380</v>
      </c>
      <c r="D64" s="76" t="s">
        <v>87</v>
      </c>
      <c r="E64" s="79" t="s">
        <v>425</v>
      </c>
      <c r="F64" s="76" t="s">
        <v>376</v>
      </c>
      <c r="G64" s="76" t="n">
        <v>18</v>
      </c>
      <c r="H64" s="76" t="n">
        <v>18</v>
      </c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customFormat="false" ht="15" hidden="false" customHeight="true" outlineLevel="0" collapsed="false">
      <c r="A65" s="76" t="n">
        <v>49</v>
      </c>
      <c r="B65" s="76" t="s">
        <v>384</v>
      </c>
      <c r="C65" s="77" t="s">
        <v>385</v>
      </c>
      <c r="D65" s="76" t="s">
        <v>87</v>
      </c>
      <c r="E65" s="78" t="s">
        <v>162</v>
      </c>
      <c r="F65" s="76" t="s">
        <v>379</v>
      </c>
      <c r="G65" s="76" t="n">
        <v>18</v>
      </c>
      <c r="H65" s="76" t="n">
        <v>18</v>
      </c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7" customFormat="false" ht="19.5" hidden="false" customHeight="true" outlineLevel="0" collapsed="false">
      <c r="A67" s="82" t="s">
        <v>432</v>
      </c>
      <c r="B67" s="82"/>
      <c r="C67" s="82"/>
      <c r="D67" s="82"/>
      <c r="E67" s="82"/>
      <c r="F67" s="82"/>
      <c r="G67" s="83" t="n">
        <v>18</v>
      </c>
      <c r="H67" s="83" t="n">
        <v>18</v>
      </c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5" t="s">
        <v>433</v>
      </c>
    </row>
    <row r="69" customFormat="false" ht="31.5" hidden="false" customHeight="true" outlineLevel="0" collapsed="false">
      <c r="A69" s="40" t="s">
        <v>434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</sheetData>
  <mergeCells count="21">
    <mergeCell ref="A1:Z1"/>
    <mergeCell ref="A2:Z2"/>
    <mergeCell ref="A3:Z3"/>
    <mergeCell ref="A5:Z5"/>
    <mergeCell ref="A6:H8"/>
    <mergeCell ref="J6:N6"/>
    <mergeCell ref="P6:T6"/>
    <mergeCell ref="V6:Z6"/>
    <mergeCell ref="J7:N7"/>
    <mergeCell ref="P7:T7"/>
    <mergeCell ref="V7:Z7"/>
    <mergeCell ref="J8:N8"/>
    <mergeCell ref="P8:T8"/>
    <mergeCell ref="A11:C11"/>
    <mergeCell ref="A20:C20"/>
    <mergeCell ref="A28:C28"/>
    <mergeCell ref="A36:C36"/>
    <mergeCell ref="A46:C46"/>
    <mergeCell ref="A56:C56"/>
    <mergeCell ref="A67:F67"/>
    <mergeCell ref="A69:Z69"/>
  </mergeCells>
  <conditionalFormatting sqref="I11:Z65">
    <cfRule type="expression" priority="2" aboveAverage="0" equalAverage="0" bottom="0" percent="0" rank="0" text="" dxfId="31">
      <formula>AND($E11="T2 POWER",I$10&gt;=$G11,I$10&lt;=$H11)</formula>
    </cfRule>
    <cfRule type="expression" priority="3" aboveAverage="0" equalAverage="0" bottom="0" percent="0" rank="0" text="" dxfId="32">
      <formula>AND($E11="CRITICAL",I$10&gt;=$G11,I$10&lt;=$H11)</formula>
    </cfRule>
    <cfRule type="expression" priority="4" aboveAverage="0" equalAverage="0" bottom="0" percent="0" rank="0" text="" dxfId="33">
      <formula>AND($D11="Preparation",I$10&gt;=$G11,I$10&lt;=$H11)</formula>
    </cfRule>
    <cfRule type="expression" priority="5" aboveAverage="0" equalAverage="0" bottom="0" percent="0" rank="0" text="" dxfId="34">
      <formula>AND($D11="Site Readiness",I$10&gt;=$G11,I$10&lt;=$H11)</formula>
    </cfRule>
    <cfRule type="expression" priority="6" aboveAverage="0" equalAverage="0" bottom="0" percent="0" rank="0" text="" dxfId="35">
      <formula>AND($D11="Engineering",I$10&gt;=$G11,I$10&lt;=$H11)</formula>
    </cfRule>
    <cfRule type="expression" priority="7" aboveAverage="0" equalAverage="0" bottom="0" percent="0" rank="0" text="" dxfId="36">
      <formula>AND($D11="Procurement",I$10&gt;=$G11,I$10&lt;=$H11)</formula>
    </cfRule>
    <cfRule type="expression" priority="8" aboveAverage="0" equalAverage="0" bottom="0" percent="0" rank="0" text="" dxfId="37">
      <formula>AND($D11="Installation",I$10&gt;=$G11,I$10&lt;=$H11)</formula>
    </cfRule>
    <cfRule type="expression" priority="9" aboveAverage="0" equalAverage="0" bottom="0" percent="0" rank="0" text="" dxfId="38">
      <formula>AND($D11="Testing",I$10&gt;=$G11,I$10&lt;=$H11)</formula>
    </cfRule>
    <cfRule type="expression" priority="10" aboveAverage="0" equalAverage="0" bottom="0" percent="0" rank="0" text="" dxfId="39">
      <formula>AND($D11="Handover",I$10&gt;=$G11,I$10&lt;=$H11)</formula>
    </cfRule>
    <cfRule type="expression" priority="11" aboveAverage="0" equalAverage="0" bottom="0" percent="0" rank="0" text="" dxfId="33">
      <formula>AND($E11="PHASE ENVELOPE",$D11="Preparation",I$10&gt;=$G11,I$10&lt;=$H11)</formula>
    </cfRule>
    <cfRule type="expression" priority="12" aboveAverage="0" equalAverage="0" bottom="0" percent="0" rank="0" text="" dxfId="34">
      <formula>AND($E11="PHASE ENVELOPE",$D11="Site Readiness",I$10&gt;=$G11,I$10&lt;=$H11)</formula>
    </cfRule>
    <cfRule type="expression" priority="13" aboveAverage="0" equalAverage="0" bottom="0" percent="0" rank="0" text="" dxfId="35">
      <formula>AND($E11="PHASE ENVELOPE",$D11="Engineering",I$10&gt;=$G11,I$10&lt;=$H11)</formula>
    </cfRule>
    <cfRule type="expression" priority="14" aboveAverage="0" equalAverage="0" bottom="0" percent="0" rank="0" text="" dxfId="36">
      <formula>AND($E11="PHASE ENVELOPE",$D11="Procurement",I$10&gt;=$G11,I$10&lt;=$H11)</formula>
    </cfRule>
    <cfRule type="expression" priority="15" aboveAverage="0" equalAverage="0" bottom="0" percent="0" rank="0" text="" dxfId="37">
      <formula>AND($E11="PHASE ENVELOPE",$D11="Installation",I$10&gt;=$G11,I$10&lt;=$H11)</formula>
    </cfRule>
    <cfRule type="expression" priority="16" aboveAverage="0" equalAverage="0" bottom="0" percent="0" rank="0" text="" dxfId="38">
      <formula>AND($E11="PHASE ENVELOPE",$D11="Testing",I$10&gt;=$G11,I$10&lt;=$H11)</formula>
    </cfRule>
    <cfRule type="expression" priority="17" aboveAverage="0" equalAverage="0" bottom="0" percent="0" rank="0" text="" dxfId="39">
      <formula>AND($E11="PHASE ENVELOPE",$D11="Handover",I$10&gt;=$G11,I$10&lt;=$H11)</formula>
    </cfRule>
  </conditionalFormatting>
  <printOptions headings="false" gridLines="false" gridLinesSet="true" horizontalCentered="true" verticalCentered="false"/>
  <pageMargins left="0.35" right="0.35" top="0.5" bottom="0.6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&amp;K6b7280Confidential — Project Planning Document&amp;C&amp;8 &amp;K6b7280Prepared based on the RC Vehicle Survey Report dated 30-Jun-2026  |  Version 0.1 — Preliminary Planning Baseline&amp;R&amp;8 &amp;K6b7280Page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008C"/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62"/>
    <col collapsed="false" customWidth="true" hidden="false" outlineLevel="0" max="6" min="6" style="0" width="24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435</v>
      </c>
      <c r="B5" s="4"/>
      <c r="C5" s="4"/>
      <c r="D5" s="4"/>
      <c r="E5" s="4"/>
      <c r="F5" s="4"/>
      <c r="G5" s="4"/>
    </row>
    <row r="7" customFormat="false" ht="21.75" hidden="false" customHeight="true" outlineLevel="0" collapsed="false">
      <c r="A7" s="5" t="s">
        <v>436</v>
      </c>
      <c r="B7" s="5"/>
      <c r="C7" s="5"/>
      <c r="D7" s="5"/>
      <c r="E7" s="5"/>
      <c r="F7" s="5"/>
      <c r="G7" s="5"/>
    </row>
    <row r="8" customFormat="false" ht="19.5" hidden="false" customHeight="true" outlineLevel="0" collapsed="false">
      <c r="A8" s="6" t="s">
        <v>381</v>
      </c>
      <c r="B8" s="86" t="s">
        <v>50</v>
      </c>
      <c r="C8" s="86"/>
      <c r="D8" s="87" t="s">
        <v>437</v>
      </c>
      <c r="E8" s="87"/>
      <c r="F8" s="87"/>
      <c r="G8" s="87"/>
    </row>
    <row r="9" customFormat="false" ht="19.5" hidden="false" customHeight="true" outlineLevel="0" collapsed="false">
      <c r="A9" s="6" t="s">
        <v>11</v>
      </c>
      <c r="B9" s="7" t="s">
        <v>12</v>
      </c>
      <c r="C9" s="7"/>
      <c r="D9" s="87" t="s">
        <v>438</v>
      </c>
      <c r="E9" s="87"/>
      <c r="F9" s="87"/>
      <c r="G9" s="87"/>
    </row>
    <row r="10" customFormat="false" ht="19.5" hidden="false" customHeight="true" outlineLevel="0" collapsed="false">
      <c r="A10" s="6" t="s">
        <v>222</v>
      </c>
      <c r="B10" s="86" t="s">
        <v>50</v>
      </c>
      <c r="C10" s="86"/>
      <c r="D10" s="87" t="s">
        <v>437</v>
      </c>
      <c r="E10" s="87"/>
      <c r="F10" s="87"/>
      <c r="G10" s="87"/>
    </row>
    <row r="11" customFormat="false" ht="19.5" hidden="false" customHeight="true" outlineLevel="0" collapsed="false">
      <c r="A11" s="6" t="s">
        <v>439</v>
      </c>
      <c r="B11" s="86" t="s">
        <v>50</v>
      </c>
      <c r="C11" s="86"/>
      <c r="D11" s="87" t="s">
        <v>437</v>
      </c>
      <c r="E11" s="87"/>
      <c r="F11" s="87"/>
      <c r="G11" s="87"/>
    </row>
    <row r="12" customFormat="false" ht="19.5" hidden="false" customHeight="true" outlineLevel="0" collapsed="false">
      <c r="A12" s="6" t="s">
        <v>262</v>
      </c>
      <c r="B12" s="86" t="s">
        <v>50</v>
      </c>
      <c r="C12" s="86"/>
      <c r="D12" s="87" t="s">
        <v>437</v>
      </c>
      <c r="E12" s="87"/>
      <c r="F12" s="87"/>
      <c r="G12" s="87"/>
    </row>
    <row r="13" customFormat="false" ht="19.5" hidden="false" customHeight="true" outlineLevel="0" collapsed="false">
      <c r="A13" s="6" t="s">
        <v>228</v>
      </c>
      <c r="B13" s="86" t="s">
        <v>50</v>
      </c>
      <c r="C13" s="86"/>
      <c r="D13" s="87" t="s">
        <v>437</v>
      </c>
      <c r="E13" s="87"/>
      <c r="F13" s="87"/>
      <c r="G13" s="87"/>
    </row>
    <row r="14" customFormat="false" ht="19.5" hidden="false" customHeight="true" outlineLevel="0" collapsed="false">
      <c r="A14" s="6" t="s">
        <v>238</v>
      </c>
      <c r="B14" s="86" t="s">
        <v>50</v>
      </c>
      <c r="C14" s="86"/>
      <c r="D14" s="87" t="s">
        <v>437</v>
      </c>
      <c r="E14" s="87"/>
      <c r="F14" s="87"/>
      <c r="G14" s="87"/>
    </row>
    <row r="16" customFormat="false" ht="21.75" hidden="false" customHeight="true" outlineLevel="0" collapsed="false">
      <c r="A16" s="5" t="s">
        <v>440</v>
      </c>
      <c r="B16" s="5"/>
      <c r="C16" s="5"/>
      <c r="D16" s="5"/>
      <c r="E16" s="5"/>
      <c r="F16" s="5"/>
      <c r="G16" s="5"/>
    </row>
    <row r="18" customFormat="false" ht="30" hidden="false" customHeight="true" outlineLevel="0" collapsed="false">
      <c r="A18" s="24" t="s">
        <v>441</v>
      </c>
      <c r="B18" s="24" t="s">
        <v>442</v>
      </c>
      <c r="C18" s="24" t="s">
        <v>150</v>
      </c>
      <c r="D18" s="24" t="s">
        <v>443</v>
      </c>
      <c r="E18" s="24" t="s">
        <v>444</v>
      </c>
      <c r="F18" s="24" t="s">
        <v>445</v>
      </c>
      <c r="G18" s="24" t="s">
        <v>45</v>
      </c>
    </row>
    <row r="19" customFormat="false" ht="30" hidden="false" customHeight="true" outlineLevel="0" collapsed="false">
      <c r="A19" s="7" t="s">
        <v>446</v>
      </c>
      <c r="B19" s="86" t="s">
        <v>50</v>
      </c>
      <c r="C19" s="27" t="s">
        <v>381</v>
      </c>
      <c r="D19" s="86" t="s">
        <v>50</v>
      </c>
      <c r="E19" s="8" t="s">
        <v>447</v>
      </c>
      <c r="F19" s="86" t="s">
        <v>50</v>
      </c>
      <c r="G19" s="26" t="s">
        <v>51</v>
      </c>
    </row>
    <row r="20" customFormat="false" ht="30" hidden="false" customHeight="true" outlineLevel="0" collapsed="false">
      <c r="A20" s="28" t="s">
        <v>448</v>
      </c>
      <c r="B20" s="28" t="s">
        <v>12</v>
      </c>
      <c r="C20" s="30" t="s">
        <v>11</v>
      </c>
      <c r="D20" s="86" t="s">
        <v>50</v>
      </c>
      <c r="E20" s="48" t="s">
        <v>449</v>
      </c>
      <c r="F20" s="86" t="s">
        <v>50</v>
      </c>
      <c r="G20" s="29" t="s">
        <v>103</v>
      </c>
    </row>
    <row r="21" customFormat="false" ht="30" hidden="false" customHeight="true" outlineLevel="0" collapsed="false">
      <c r="A21" s="7" t="s">
        <v>450</v>
      </c>
      <c r="B21" s="86" t="s">
        <v>50</v>
      </c>
      <c r="C21" s="27" t="s">
        <v>199</v>
      </c>
      <c r="D21" s="86" t="s">
        <v>50</v>
      </c>
      <c r="E21" s="8" t="s">
        <v>451</v>
      </c>
      <c r="F21" s="86" t="s">
        <v>50</v>
      </c>
      <c r="G21" s="26" t="s">
        <v>51</v>
      </c>
    </row>
    <row r="22" customFormat="false" ht="30" hidden="false" customHeight="true" outlineLevel="0" collapsed="false">
      <c r="A22" s="28" t="s">
        <v>452</v>
      </c>
      <c r="B22" s="86" t="s">
        <v>50</v>
      </c>
      <c r="C22" s="30" t="s">
        <v>249</v>
      </c>
      <c r="D22" s="86" t="s">
        <v>50</v>
      </c>
      <c r="E22" s="48" t="s">
        <v>453</v>
      </c>
      <c r="F22" s="86" t="s">
        <v>50</v>
      </c>
      <c r="G22" s="29" t="s">
        <v>51</v>
      </c>
    </row>
    <row r="23" customFormat="false" ht="30" hidden="false" customHeight="true" outlineLevel="0" collapsed="false">
      <c r="A23" s="7" t="s">
        <v>454</v>
      </c>
      <c r="B23" s="86" t="s">
        <v>50</v>
      </c>
      <c r="C23" s="27" t="s">
        <v>245</v>
      </c>
      <c r="D23" s="86" t="s">
        <v>50</v>
      </c>
      <c r="E23" s="8" t="s">
        <v>455</v>
      </c>
      <c r="F23" s="86" t="s">
        <v>50</v>
      </c>
      <c r="G23" s="26" t="s">
        <v>51</v>
      </c>
    </row>
    <row r="24" customFormat="false" ht="30" hidden="false" customHeight="true" outlineLevel="0" collapsed="false">
      <c r="A24" s="28" t="s">
        <v>456</v>
      </c>
      <c r="B24" s="86" t="s">
        <v>50</v>
      </c>
      <c r="C24" s="30" t="s">
        <v>189</v>
      </c>
      <c r="D24" s="86" t="s">
        <v>50</v>
      </c>
      <c r="E24" s="48" t="s">
        <v>457</v>
      </c>
      <c r="F24" s="86" t="s">
        <v>50</v>
      </c>
      <c r="G24" s="29" t="s">
        <v>51</v>
      </c>
    </row>
    <row r="25" customFormat="false" ht="30" hidden="false" customHeight="true" outlineLevel="0" collapsed="false">
      <c r="A25" s="7" t="s">
        <v>458</v>
      </c>
      <c r="B25" s="86" t="s">
        <v>50</v>
      </c>
      <c r="C25" s="27" t="s">
        <v>222</v>
      </c>
      <c r="D25" s="86" t="s">
        <v>50</v>
      </c>
      <c r="E25" s="8" t="s">
        <v>459</v>
      </c>
      <c r="F25" s="86" t="s">
        <v>50</v>
      </c>
      <c r="G25" s="26" t="s">
        <v>51</v>
      </c>
    </row>
    <row r="26" customFormat="false" ht="30" hidden="false" customHeight="true" outlineLevel="0" collapsed="false">
      <c r="A26" s="28" t="s">
        <v>460</v>
      </c>
      <c r="B26" s="86" t="s">
        <v>50</v>
      </c>
      <c r="C26" s="30" t="s">
        <v>253</v>
      </c>
      <c r="D26" s="86" t="s">
        <v>50</v>
      </c>
      <c r="E26" s="48" t="s">
        <v>461</v>
      </c>
      <c r="F26" s="86" t="s">
        <v>50</v>
      </c>
      <c r="G26" s="29" t="s">
        <v>51</v>
      </c>
    </row>
    <row r="27" customFormat="false" ht="30" hidden="false" customHeight="true" outlineLevel="0" collapsed="false">
      <c r="A27" s="7" t="s">
        <v>462</v>
      </c>
      <c r="B27" s="86" t="s">
        <v>50</v>
      </c>
      <c r="C27" s="27" t="s">
        <v>212</v>
      </c>
      <c r="D27" s="86" t="s">
        <v>50</v>
      </c>
      <c r="E27" s="8" t="s">
        <v>463</v>
      </c>
      <c r="F27" s="86" t="s">
        <v>50</v>
      </c>
      <c r="G27" s="26" t="s">
        <v>51</v>
      </c>
    </row>
    <row r="28" customFormat="false" ht="30" hidden="false" customHeight="true" outlineLevel="0" collapsed="false">
      <c r="A28" s="28" t="s">
        <v>464</v>
      </c>
      <c r="B28" s="86" t="s">
        <v>50</v>
      </c>
      <c r="C28" s="30" t="s">
        <v>206</v>
      </c>
      <c r="D28" s="86" t="s">
        <v>50</v>
      </c>
      <c r="E28" s="48" t="s">
        <v>465</v>
      </c>
      <c r="F28" s="86" t="s">
        <v>50</v>
      </c>
      <c r="G28" s="29" t="s">
        <v>103</v>
      </c>
    </row>
    <row r="29" customFormat="false" ht="30" hidden="false" customHeight="true" outlineLevel="0" collapsed="false">
      <c r="A29" s="7" t="s">
        <v>466</v>
      </c>
      <c r="B29" s="86" t="s">
        <v>50</v>
      </c>
      <c r="C29" s="27" t="s">
        <v>228</v>
      </c>
      <c r="D29" s="86" t="s">
        <v>50</v>
      </c>
      <c r="E29" s="8" t="s">
        <v>467</v>
      </c>
      <c r="F29" s="86" t="s">
        <v>50</v>
      </c>
      <c r="G29" s="26" t="s">
        <v>51</v>
      </c>
    </row>
    <row r="30" customFormat="false" ht="30" hidden="false" customHeight="true" outlineLevel="0" collapsed="false">
      <c r="A30" s="28" t="s">
        <v>468</v>
      </c>
      <c r="B30" s="86" t="s">
        <v>50</v>
      </c>
      <c r="C30" s="30" t="s">
        <v>238</v>
      </c>
      <c r="D30" s="86" t="s">
        <v>50</v>
      </c>
      <c r="E30" s="48" t="s">
        <v>469</v>
      </c>
      <c r="F30" s="86" t="s">
        <v>50</v>
      </c>
      <c r="G30" s="29" t="s">
        <v>51</v>
      </c>
    </row>
    <row r="31" customFormat="false" ht="30" hidden="false" customHeight="true" outlineLevel="0" collapsed="false">
      <c r="A31" s="7" t="s">
        <v>416</v>
      </c>
      <c r="B31" s="86" t="s">
        <v>50</v>
      </c>
      <c r="C31" s="27" t="s">
        <v>321</v>
      </c>
      <c r="D31" s="86" t="s">
        <v>50</v>
      </c>
      <c r="E31" s="8" t="s">
        <v>470</v>
      </c>
      <c r="F31" s="86" t="s">
        <v>50</v>
      </c>
      <c r="G31" s="26" t="s">
        <v>51</v>
      </c>
    </row>
    <row r="32" customFormat="false" ht="30" hidden="false" customHeight="true" outlineLevel="0" collapsed="false">
      <c r="A32" s="28" t="s">
        <v>471</v>
      </c>
      <c r="B32" s="86" t="s">
        <v>50</v>
      </c>
      <c r="C32" s="30" t="s">
        <v>262</v>
      </c>
      <c r="D32" s="86" t="s">
        <v>50</v>
      </c>
      <c r="E32" s="48" t="s">
        <v>472</v>
      </c>
      <c r="F32" s="86" t="s">
        <v>50</v>
      </c>
      <c r="G32" s="29" t="s">
        <v>51</v>
      </c>
    </row>
    <row r="34" customFormat="false" ht="19.5" hidden="false" customHeight="true" outlineLevel="0" collapsed="false">
      <c r="A34" s="40" t="s">
        <v>473</v>
      </c>
      <c r="B34" s="40"/>
      <c r="C34" s="40"/>
      <c r="D34" s="40"/>
      <c r="E34" s="40"/>
      <c r="F34" s="40"/>
      <c r="G34" s="40"/>
    </row>
  </sheetData>
  <mergeCells count="21">
    <mergeCell ref="A1:G1"/>
    <mergeCell ref="A2:G2"/>
    <mergeCell ref="A3:G3"/>
    <mergeCell ref="A5:G5"/>
    <mergeCell ref="A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A16:G16"/>
    <mergeCell ref="A34:G34"/>
  </mergeCells>
  <conditionalFormatting sqref="G19:G32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"At Risk"</formula>
    </cfRule>
    <cfRule type="cellIs" priority="5" operator="equal" aboveAverage="0" equalAverage="0" bottom="0" percent="0" rank="0" text="" dxfId="3">
      <formula>"In Progress"</formula>
    </cfRule>
    <cfRule type="cellIs" priority="6" operator="equal" aboveAverage="0" equalAverage="0" bottom="0" percent="0" rank="0" text="" dxfId="2">
      <formula>"Pending Approval"</formula>
    </cfRule>
    <cfRule type="cellIs" priority="7" operator="equal" aboveAverage="0" equalAverage="0" bottom="0" percent="0" rank="0" text="" dxfId="2">
      <formula>"Pending Material"</formula>
    </cfRule>
    <cfRule type="cellIs" priority="8" operator="equal" aboveAverage="0" equalAverage="0" bottom="0" percent="0" rank="0" text="" dxfId="4">
      <formula>"Ready to Start"</formula>
    </cfRule>
    <cfRule type="cellIs" priority="9" operator="equal" aboveAverage="0" equalAverage="0" bottom="0" percent="0" rank="0" text="" dxfId="5">
      <formula>"Not Started"</formula>
    </cfRule>
  </conditionalFormatting>
  <dataValidations count="1">
    <dataValidation allowBlank="true" error="Please choose a value from the drop-down list." errorStyle="warning" errorTitle="Value not in list" operator="between" prompt="Select the current status." promptTitle="Status" showDropDown="false" showErrorMessage="true" showInputMessage="true" sqref="G19:G32" type="list">
      <formula1>"Not Started,Ready to Start,In Progress,Blocked,At Risk,Pending Approval,Pending Material,Completed"</formula1>
      <formula2>0</formula2>
    </dataValidation>
  </dataValidations>
  <printOptions headings="false" gridLines="false" gridLinesSet="true" horizontalCentered="true" verticalCentered="false"/>
  <pageMargins left="0.35" right="0.35" top="0.5" bottom="0.6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&amp;K6b7280Confidential — Project Planning Document&amp;C&amp;8 &amp;K6b7280Prepared based on the RC Vehicle Survey Report dated 30-Jun-2026  |  Version 0.1 — Preliminary Planning Baseline&amp;R&amp;8 &amp;K6b7280Page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008C"/>
    <pageSetUpPr fitToPage="tru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52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6" hidden="false" customHeight="true" outlineLevel="0" collapsed="false"/>
    <row r="5" customFormat="false" ht="31.5" hidden="false" customHeight="true" outlineLevel="0" collapsed="false">
      <c r="A5" s="4" t="s">
        <v>474</v>
      </c>
      <c r="B5" s="4"/>
      <c r="C5" s="4"/>
      <c r="D5" s="4"/>
      <c r="E5" s="4"/>
      <c r="F5" s="4"/>
      <c r="G5" s="4"/>
      <c r="H5" s="4"/>
      <c r="I5" s="4"/>
    </row>
    <row r="7" customFormat="false" ht="31.5" hidden="false" customHeight="true" outlineLevel="0" collapsed="false">
      <c r="A7" s="24" t="s">
        <v>94</v>
      </c>
      <c r="B7" s="24" t="s">
        <v>95</v>
      </c>
      <c r="C7" s="24" t="s">
        <v>391</v>
      </c>
      <c r="D7" s="24" t="s">
        <v>96</v>
      </c>
      <c r="E7" s="24" t="s">
        <v>475</v>
      </c>
      <c r="F7" s="24" t="s">
        <v>97</v>
      </c>
      <c r="G7" s="24" t="s">
        <v>45</v>
      </c>
      <c r="H7" s="24" t="s">
        <v>476</v>
      </c>
      <c r="I7" s="24" t="s">
        <v>47</v>
      </c>
    </row>
    <row r="8" customFormat="false" ht="33.75" hidden="false" customHeight="true" outlineLevel="0" collapsed="false">
      <c r="A8" s="88" t="s">
        <v>99</v>
      </c>
      <c r="B8" s="23" t="s">
        <v>100</v>
      </c>
      <c r="C8" s="8" t="s">
        <v>477</v>
      </c>
      <c r="D8" s="8" t="s">
        <v>101</v>
      </c>
      <c r="E8" s="25" t="s">
        <v>49</v>
      </c>
      <c r="F8" s="26" t="s">
        <v>102</v>
      </c>
      <c r="G8" s="26" t="s">
        <v>103</v>
      </c>
      <c r="H8" s="26" t="s">
        <v>179</v>
      </c>
      <c r="I8" s="47" t="s">
        <v>104</v>
      </c>
    </row>
    <row r="9" customFormat="false" ht="33.75" hidden="false" customHeight="true" outlineLevel="0" collapsed="false">
      <c r="A9" s="88" t="s">
        <v>105</v>
      </c>
      <c r="B9" s="23" t="s">
        <v>106</v>
      </c>
      <c r="C9" s="48" t="s">
        <v>478</v>
      </c>
      <c r="D9" s="48" t="s">
        <v>107</v>
      </c>
      <c r="E9" s="25" t="s">
        <v>49</v>
      </c>
      <c r="F9" s="29" t="s">
        <v>102</v>
      </c>
      <c r="G9" s="29" t="s">
        <v>58</v>
      </c>
      <c r="H9" s="29" t="s">
        <v>179</v>
      </c>
      <c r="I9" s="55" t="s">
        <v>108</v>
      </c>
    </row>
    <row r="10" customFormat="false" ht="33.75" hidden="false" customHeight="true" outlineLevel="0" collapsed="false">
      <c r="A10" s="88" t="s">
        <v>109</v>
      </c>
      <c r="B10" s="23" t="s">
        <v>110</v>
      </c>
      <c r="C10" s="8" t="s">
        <v>479</v>
      </c>
      <c r="D10" s="8" t="s">
        <v>111</v>
      </c>
      <c r="E10" s="25" t="s">
        <v>49</v>
      </c>
      <c r="F10" s="26" t="s">
        <v>102</v>
      </c>
      <c r="G10" s="26" t="s">
        <v>51</v>
      </c>
      <c r="H10" s="26" t="s">
        <v>179</v>
      </c>
      <c r="I10" s="47" t="s">
        <v>112</v>
      </c>
    </row>
    <row r="11" customFormat="false" ht="33.75" hidden="false" customHeight="true" outlineLevel="0" collapsed="false">
      <c r="A11" s="88" t="s">
        <v>113</v>
      </c>
      <c r="B11" s="23" t="s">
        <v>114</v>
      </c>
      <c r="C11" s="48" t="s">
        <v>480</v>
      </c>
      <c r="D11" s="48" t="s">
        <v>115</v>
      </c>
      <c r="E11" s="25" t="s">
        <v>49</v>
      </c>
      <c r="F11" s="29" t="s">
        <v>102</v>
      </c>
      <c r="G11" s="29" t="s">
        <v>51</v>
      </c>
      <c r="H11" s="29" t="s">
        <v>179</v>
      </c>
      <c r="I11" s="55" t="s">
        <v>116</v>
      </c>
    </row>
    <row r="12" customFormat="false" ht="33.75" hidden="false" customHeight="true" outlineLevel="0" collapsed="false">
      <c r="A12" s="32" t="s">
        <v>117</v>
      </c>
      <c r="B12" s="43" t="s">
        <v>118</v>
      </c>
      <c r="C12" s="8" t="s">
        <v>481</v>
      </c>
      <c r="D12" s="8" t="s">
        <v>115</v>
      </c>
      <c r="E12" s="25" t="s">
        <v>49</v>
      </c>
      <c r="F12" s="26" t="s">
        <v>119</v>
      </c>
      <c r="G12" s="26" t="s">
        <v>51</v>
      </c>
      <c r="H12" s="26" t="s">
        <v>179</v>
      </c>
      <c r="I12" s="47" t="s">
        <v>120</v>
      </c>
    </row>
    <row r="13" customFormat="false" ht="33.75" hidden="false" customHeight="true" outlineLevel="0" collapsed="false">
      <c r="A13" s="33" t="s">
        <v>121</v>
      </c>
      <c r="B13" s="49" t="s">
        <v>122</v>
      </c>
      <c r="C13" s="48" t="s">
        <v>482</v>
      </c>
      <c r="D13" s="48" t="s">
        <v>123</v>
      </c>
      <c r="E13" s="25" t="s">
        <v>49</v>
      </c>
      <c r="F13" s="29" t="s">
        <v>119</v>
      </c>
      <c r="G13" s="29" t="s">
        <v>51</v>
      </c>
      <c r="H13" s="29" t="s">
        <v>179</v>
      </c>
      <c r="I13" s="55" t="s">
        <v>124</v>
      </c>
    </row>
    <row r="14" customFormat="false" ht="33.75" hidden="false" customHeight="true" outlineLevel="0" collapsed="false">
      <c r="A14" s="32" t="s">
        <v>483</v>
      </c>
      <c r="B14" s="43" t="s">
        <v>484</v>
      </c>
      <c r="C14" s="8" t="s">
        <v>485</v>
      </c>
      <c r="D14" s="8" t="s">
        <v>486</v>
      </c>
      <c r="E14" s="25" t="s">
        <v>49</v>
      </c>
      <c r="F14" s="26" t="s">
        <v>119</v>
      </c>
      <c r="G14" s="26" t="s">
        <v>51</v>
      </c>
      <c r="H14" s="26" t="s">
        <v>164</v>
      </c>
      <c r="I14" s="47" t="s">
        <v>294</v>
      </c>
    </row>
    <row r="15" customFormat="false" ht="33.75" hidden="false" customHeight="true" outlineLevel="0" collapsed="false">
      <c r="A15" s="33" t="s">
        <v>487</v>
      </c>
      <c r="B15" s="49" t="s">
        <v>488</v>
      </c>
      <c r="C15" s="48" t="s">
        <v>489</v>
      </c>
      <c r="D15" s="48" t="s">
        <v>115</v>
      </c>
      <c r="E15" s="25" t="s">
        <v>49</v>
      </c>
      <c r="F15" s="29" t="s">
        <v>119</v>
      </c>
      <c r="G15" s="29" t="s">
        <v>51</v>
      </c>
      <c r="H15" s="29" t="s">
        <v>164</v>
      </c>
      <c r="I15" s="55" t="s">
        <v>490</v>
      </c>
    </row>
    <row r="16" customFormat="false" ht="33.75" hidden="false" customHeight="true" outlineLevel="0" collapsed="false">
      <c r="A16" s="32" t="s">
        <v>491</v>
      </c>
      <c r="B16" s="43" t="s">
        <v>492</v>
      </c>
      <c r="C16" s="8" t="s">
        <v>493</v>
      </c>
      <c r="D16" s="8" t="s">
        <v>111</v>
      </c>
      <c r="E16" s="25" t="s">
        <v>49</v>
      </c>
      <c r="F16" s="26" t="s">
        <v>494</v>
      </c>
      <c r="G16" s="26" t="s">
        <v>51</v>
      </c>
      <c r="H16" s="26" t="s">
        <v>164</v>
      </c>
      <c r="I16" s="47" t="s">
        <v>495</v>
      </c>
    </row>
    <row r="17" customFormat="false" ht="33.75" hidden="false" customHeight="true" outlineLevel="0" collapsed="false">
      <c r="A17" s="33" t="s">
        <v>496</v>
      </c>
      <c r="B17" s="49" t="s">
        <v>497</v>
      </c>
      <c r="C17" s="48" t="s">
        <v>498</v>
      </c>
      <c r="D17" s="48" t="s">
        <v>107</v>
      </c>
      <c r="E17" s="25" t="s">
        <v>49</v>
      </c>
      <c r="F17" s="29" t="s">
        <v>494</v>
      </c>
      <c r="G17" s="29" t="s">
        <v>51</v>
      </c>
      <c r="H17" s="29" t="s">
        <v>164</v>
      </c>
      <c r="I17" s="55" t="s">
        <v>499</v>
      </c>
    </row>
    <row r="18" customFormat="false" ht="33.75" hidden="false" customHeight="true" outlineLevel="0" collapsed="false">
      <c r="A18" s="32" t="s">
        <v>500</v>
      </c>
      <c r="B18" s="43" t="s">
        <v>501</v>
      </c>
      <c r="C18" s="8" t="s">
        <v>502</v>
      </c>
      <c r="D18" s="8" t="s">
        <v>503</v>
      </c>
      <c r="E18" s="25" t="s">
        <v>49</v>
      </c>
      <c r="F18" s="26" t="s">
        <v>494</v>
      </c>
      <c r="G18" s="26" t="s">
        <v>51</v>
      </c>
      <c r="H18" s="26" t="s">
        <v>164</v>
      </c>
      <c r="I18" s="47" t="s">
        <v>504</v>
      </c>
    </row>
    <row r="19" customFormat="false" ht="33.75" hidden="false" customHeight="true" outlineLevel="0" collapsed="false">
      <c r="A19" s="33" t="s">
        <v>505</v>
      </c>
      <c r="B19" s="49" t="s">
        <v>506</v>
      </c>
      <c r="C19" s="48" t="s">
        <v>507</v>
      </c>
      <c r="D19" s="48" t="s">
        <v>508</v>
      </c>
      <c r="E19" s="25" t="s">
        <v>49</v>
      </c>
      <c r="F19" s="29" t="s">
        <v>494</v>
      </c>
      <c r="G19" s="29" t="s">
        <v>51</v>
      </c>
      <c r="H19" s="29" t="s">
        <v>164</v>
      </c>
      <c r="I19" s="55" t="s">
        <v>509</v>
      </c>
    </row>
    <row r="21" customFormat="false" ht="19.5" hidden="false" customHeight="true" outlineLevel="0" collapsed="false">
      <c r="A21" s="40" t="s">
        <v>510</v>
      </c>
      <c r="B21" s="40"/>
      <c r="C21" s="40"/>
      <c r="D21" s="40"/>
      <c r="E21" s="40"/>
      <c r="F21" s="40"/>
      <c r="G21" s="40"/>
      <c r="H21" s="40"/>
      <c r="I21" s="40"/>
    </row>
  </sheetData>
  <mergeCells count="5">
    <mergeCell ref="A1:I1"/>
    <mergeCell ref="A2:I2"/>
    <mergeCell ref="A3:I3"/>
    <mergeCell ref="A5:I5"/>
    <mergeCell ref="A21:I21"/>
  </mergeCells>
  <conditionalFormatting sqref="G8:G1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"At Risk"</formula>
    </cfRule>
    <cfRule type="cellIs" priority="5" operator="equal" aboveAverage="0" equalAverage="0" bottom="0" percent="0" rank="0" text="" dxfId="3">
      <formula>"In Progress"</formula>
    </cfRule>
    <cfRule type="cellIs" priority="6" operator="equal" aboveAverage="0" equalAverage="0" bottom="0" percent="0" rank="0" text="" dxfId="2">
      <formula>"Pending Approval"</formula>
    </cfRule>
    <cfRule type="cellIs" priority="7" operator="equal" aboveAverage="0" equalAverage="0" bottom="0" percent="0" rank="0" text="" dxfId="2">
      <formula>"Pending Material"</formula>
    </cfRule>
    <cfRule type="cellIs" priority="8" operator="equal" aboveAverage="0" equalAverage="0" bottom="0" percent="0" rank="0" text="" dxfId="4">
      <formula>"Ready to Start"</formula>
    </cfRule>
    <cfRule type="cellIs" priority="9" operator="equal" aboveAverage="0" equalAverage="0" bottom="0" percent="0" rank="0" text="" dxfId="5">
      <formula>"Not Started"</formula>
    </cfRule>
  </conditionalFormatting>
  <conditionalFormatting sqref="F8:F19">
    <cfRule type="cellIs" priority="10" operator="equal" aboveAverage="0" equalAverage="0" bottom="0" percent="0" rank="0" text="" dxfId="1">
      <formula>"Critical"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3">
      <formula>"Medium"</formula>
    </cfRule>
    <cfRule type="cellIs" priority="13" operator="equal" aboveAverage="0" equalAverage="0" bottom="0" percent="0" rank="0" text="" dxfId="5">
      <formula>"Low"</formula>
    </cfRule>
  </conditionalFormatting>
  <dataValidations count="3">
    <dataValidation allowBlank="true" error="Please choose a value from the drop-down list." errorStyle="warning" errorTitle="Value not in list" operator="between" prompt="Select the current action status." promptTitle="Status" showDropDown="false" showErrorMessage="true" showInputMessage="true" sqref="G8:G19" type="list">
      <formula1>"Not Started,Ready to Start,In Progress,Blocked,At Risk,Pending Approval,Pending Material,Completed"</formula1>
      <formula2>0</formula2>
    </dataValidation>
    <dataValidation allowBlank="true" error="Please choose a value from the drop-down list." errorStyle="warning" errorTitle="Value not in list" operator="between" prompt="Select the action priority." promptTitle="Priority" showDropDown="false" showErrorMessage="true" showInputMessage="true" sqref="F8:F19" type="list">
      <formula1>"Critical,High,Medium,Low"</formula1>
      <formula2>0</formula2>
    </dataValidation>
    <dataValidation allowBlank="true" error="Please choose a value from the drop-down list." errorStyle="warning" errorTitle="Value not in list" operator="between" prompt="Does this action require escalation?" promptTitle="Escalation" showDropDown="false" showErrorMessage="true" showInputMessage="true" sqref="H8:H19" type="list">
      <formula1>"Yes,No,TBC"</formula1>
      <formula2>0</formula2>
    </dataValidation>
  </dataValidations>
  <printOptions headings="false" gridLines="false" gridLinesSet="true" horizontalCentered="true" verticalCentered="false"/>
  <pageMargins left="0.35" right="0.35" top="0.5" bottom="0.6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&amp;K6b7280Confidential — Project Planning Document&amp;C&amp;8 &amp;K6b7280Prepared based on the RC Vehicle Survey Report dated 30-Jun-2026  |  Version 0.1 — Preliminary Planning Baseline&amp;R&amp;8 &amp;K6b7280Page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008C"/>
    <pageSetUpPr fitToPage="tru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6"/>
    <col collapsed="false" customWidth="true" hidden="false" outlineLevel="0" max="8" min="8" style="0" width="30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6" hidden="false" customHeight="true" outlineLevel="0" collapsed="false"/>
    <row r="5" customFormat="false" ht="31.5" hidden="false" customHeight="true" outlineLevel="0" collapsed="false">
      <c r="A5" s="4" t="s">
        <v>511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customFormat="false" ht="31.5" hidden="false" customHeight="true" outlineLevel="0" collapsed="false">
      <c r="A7" s="24" t="s">
        <v>512</v>
      </c>
      <c r="B7" s="24" t="s">
        <v>513</v>
      </c>
      <c r="C7" s="24" t="s">
        <v>514</v>
      </c>
      <c r="D7" s="24" t="s">
        <v>515</v>
      </c>
      <c r="E7" s="24" t="s">
        <v>516</v>
      </c>
      <c r="F7" s="24" t="s">
        <v>517</v>
      </c>
      <c r="G7" s="24" t="s">
        <v>518</v>
      </c>
      <c r="H7" s="24" t="s">
        <v>44</v>
      </c>
      <c r="I7" s="24" t="s">
        <v>43</v>
      </c>
      <c r="J7" s="24" t="s">
        <v>45</v>
      </c>
      <c r="K7" s="24" t="s">
        <v>519</v>
      </c>
      <c r="L7" s="24" t="s">
        <v>395</v>
      </c>
    </row>
    <row r="8" customFormat="false" ht="42" hidden="false" customHeight="true" outlineLevel="0" collapsed="false">
      <c r="A8" s="88" t="s">
        <v>520</v>
      </c>
      <c r="B8" s="23" t="s">
        <v>521</v>
      </c>
      <c r="C8" s="8" t="s">
        <v>522</v>
      </c>
      <c r="D8" s="8" t="s">
        <v>523</v>
      </c>
      <c r="E8" s="26" t="s">
        <v>119</v>
      </c>
      <c r="F8" s="26" t="s">
        <v>119</v>
      </c>
      <c r="G8" s="8" t="s">
        <v>524</v>
      </c>
      <c r="H8" s="8" t="s">
        <v>101</v>
      </c>
      <c r="I8" s="25" t="s">
        <v>49</v>
      </c>
      <c r="J8" s="26" t="s">
        <v>525</v>
      </c>
      <c r="K8" s="45" t="str">
        <f aca="false">IF(OR($E8="",$F8="",$E8="TBC",$F8="TBC"),"TBC",IF(AND($E8="High",$F8="High"),"CRITICAL",IF(OR(AND($E8="High",$F8="Medium"),AND($E8="Medium",$F8="High")),"HIGH",IF(AND($E8="Low",$F8="Low"),"LOW","MEDIUM"))))</f>
        <v>CRITICAL</v>
      </c>
      <c r="L8" s="89" t="s">
        <v>526</v>
      </c>
    </row>
    <row r="9" customFormat="false" ht="42" hidden="false" customHeight="true" outlineLevel="0" collapsed="false">
      <c r="A9" s="88" t="s">
        <v>527</v>
      </c>
      <c r="B9" s="23" t="s">
        <v>528</v>
      </c>
      <c r="C9" s="48" t="s">
        <v>529</v>
      </c>
      <c r="D9" s="48" t="s">
        <v>530</v>
      </c>
      <c r="E9" s="29" t="s">
        <v>119</v>
      </c>
      <c r="F9" s="29" t="s">
        <v>119</v>
      </c>
      <c r="G9" s="48" t="s">
        <v>531</v>
      </c>
      <c r="H9" s="48" t="s">
        <v>111</v>
      </c>
      <c r="I9" s="25" t="s">
        <v>49</v>
      </c>
      <c r="J9" s="29" t="s">
        <v>525</v>
      </c>
      <c r="K9" s="54" t="str">
        <f aca="false">IF(OR($E9="",$F9="",$E9="TBC",$F9="TBC"),"TBC",IF(AND($E9="High",$F9="High"),"CRITICAL",IF(OR(AND($E9="High",$F9="Medium"),AND($E9="Medium",$F9="High")),"HIGH",IF(AND($E9="Low",$F9="Low"),"LOW","MEDIUM"))))</f>
        <v>CRITICAL</v>
      </c>
      <c r="L9" s="90" t="s">
        <v>526</v>
      </c>
    </row>
    <row r="10" customFormat="false" ht="42" hidden="false" customHeight="true" outlineLevel="0" collapsed="false">
      <c r="A10" s="32" t="s">
        <v>532</v>
      </c>
      <c r="B10" s="43" t="s">
        <v>533</v>
      </c>
      <c r="C10" s="8" t="s">
        <v>489</v>
      </c>
      <c r="D10" s="8" t="s">
        <v>534</v>
      </c>
      <c r="E10" s="26" t="s">
        <v>119</v>
      </c>
      <c r="F10" s="26" t="s">
        <v>494</v>
      </c>
      <c r="G10" s="8" t="s">
        <v>535</v>
      </c>
      <c r="H10" s="8" t="s">
        <v>115</v>
      </c>
      <c r="I10" s="25" t="s">
        <v>49</v>
      </c>
      <c r="J10" s="26" t="s">
        <v>525</v>
      </c>
      <c r="K10" s="45" t="str">
        <f aca="false">IF(OR($E10="",$F10="",$E10="TBC",$F10="TBC"),"TBC",IF(AND($E10="High",$F10="High"),"CRITICAL",IF(OR(AND($E10="High",$F10="Medium"),AND($E10="Medium",$F10="High")),"HIGH",IF(AND($E10="Low",$F10="Low"),"LOW","MEDIUM"))))</f>
        <v>HIGH</v>
      </c>
      <c r="L10" s="91" t="s">
        <v>536</v>
      </c>
    </row>
    <row r="11" customFormat="false" ht="42" hidden="false" customHeight="true" outlineLevel="0" collapsed="false">
      <c r="A11" s="33" t="s">
        <v>537</v>
      </c>
      <c r="B11" s="49" t="s">
        <v>538</v>
      </c>
      <c r="C11" s="48" t="s">
        <v>539</v>
      </c>
      <c r="D11" s="48" t="s">
        <v>540</v>
      </c>
      <c r="E11" s="29" t="s">
        <v>119</v>
      </c>
      <c r="F11" s="29" t="s">
        <v>494</v>
      </c>
      <c r="G11" s="48" t="s">
        <v>541</v>
      </c>
      <c r="H11" s="48" t="s">
        <v>123</v>
      </c>
      <c r="I11" s="25" t="s">
        <v>49</v>
      </c>
      <c r="J11" s="29" t="s">
        <v>525</v>
      </c>
      <c r="K11" s="54" t="str">
        <f aca="false">IF(OR($E11="",$F11="",$E11="TBC",$F11="TBC"),"TBC",IF(AND($E11="High",$F11="High"),"CRITICAL",IF(OR(AND($E11="High",$F11="Medium"),AND($E11="Medium",$F11="High")),"HIGH",IF(AND($E11="Low",$F11="Low"),"LOW","MEDIUM"))))</f>
        <v>HIGH</v>
      </c>
      <c r="L11" s="92" t="s">
        <v>536</v>
      </c>
    </row>
    <row r="12" customFormat="false" ht="42" hidden="false" customHeight="true" outlineLevel="0" collapsed="false">
      <c r="A12" s="32" t="s">
        <v>542</v>
      </c>
      <c r="B12" s="43" t="s">
        <v>543</v>
      </c>
      <c r="C12" s="8" t="s">
        <v>544</v>
      </c>
      <c r="D12" s="8" t="s">
        <v>545</v>
      </c>
      <c r="E12" s="26" t="s">
        <v>494</v>
      </c>
      <c r="F12" s="26" t="s">
        <v>119</v>
      </c>
      <c r="G12" s="8" t="s">
        <v>546</v>
      </c>
      <c r="H12" s="8" t="s">
        <v>486</v>
      </c>
      <c r="I12" s="25" t="s">
        <v>49</v>
      </c>
      <c r="J12" s="26" t="s">
        <v>525</v>
      </c>
      <c r="K12" s="45" t="str">
        <f aca="false">IF(OR($E12="",$F12="",$E12="TBC",$F12="TBC"),"TBC",IF(AND($E12="High",$F12="High"),"CRITICAL",IF(OR(AND($E12="High",$F12="Medium"),AND($E12="Medium",$F12="High")),"HIGH",IF(AND($E12="Low",$F12="Low"),"LOW","MEDIUM"))))</f>
        <v>HIGH</v>
      </c>
      <c r="L12" s="91" t="s">
        <v>536</v>
      </c>
    </row>
    <row r="13" customFormat="false" ht="42" hidden="false" customHeight="true" outlineLevel="0" collapsed="false">
      <c r="A13" s="33" t="s">
        <v>547</v>
      </c>
      <c r="B13" s="49" t="s">
        <v>548</v>
      </c>
      <c r="C13" s="48" t="s">
        <v>549</v>
      </c>
      <c r="D13" s="48" t="s">
        <v>550</v>
      </c>
      <c r="E13" s="29" t="s">
        <v>494</v>
      </c>
      <c r="F13" s="29" t="s">
        <v>119</v>
      </c>
      <c r="G13" s="48" t="s">
        <v>551</v>
      </c>
      <c r="H13" s="48" t="s">
        <v>111</v>
      </c>
      <c r="I13" s="25" t="s">
        <v>49</v>
      </c>
      <c r="J13" s="29" t="s">
        <v>525</v>
      </c>
      <c r="K13" s="54" t="str">
        <f aca="false">IF(OR($E13="",$F13="",$E13="TBC",$F13="TBC"),"TBC",IF(AND($E13="High",$F13="High"),"CRITICAL",IF(OR(AND($E13="High",$F13="Medium"),AND($E13="Medium",$F13="High")),"HIGH",IF(AND($E13="Low",$F13="Low"),"LOW","MEDIUM"))))</f>
        <v>HIGH</v>
      </c>
      <c r="L13" s="92" t="s">
        <v>536</v>
      </c>
    </row>
    <row r="14" customFormat="false" ht="42" hidden="false" customHeight="true" outlineLevel="0" collapsed="false">
      <c r="A14" s="32" t="s">
        <v>552</v>
      </c>
      <c r="B14" s="43" t="s">
        <v>553</v>
      </c>
      <c r="C14" s="8" t="s">
        <v>554</v>
      </c>
      <c r="D14" s="8" t="s">
        <v>555</v>
      </c>
      <c r="E14" s="26" t="s">
        <v>494</v>
      </c>
      <c r="F14" s="26" t="s">
        <v>494</v>
      </c>
      <c r="G14" s="8" t="s">
        <v>556</v>
      </c>
      <c r="H14" s="8" t="s">
        <v>508</v>
      </c>
      <c r="I14" s="25" t="s">
        <v>49</v>
      </c>
      <c r="J14" s="26" t="s">
        <v>525</v>
      </c>
      <c r="K14" s="45" t="str">
        <f aca="false">IF(OR($E14="",$F14="",$E14="TBC",$F14="TBC"),"TBC",IF(AND($E14="High",$F14="High"),"CRITICAL",IF(OR(AND($E14="High",$F14="Medium"),AND($E14="Medium",$F14="High")),"HIGH",IF(AND($E14="Low",$F14="Low"),"LOW","MEDIUM"))))</f>
        <v>MEDIUM</v>
      </c>
      <c r="L14" s="91" t="s">
        <v>536</v>
      </c>
    </row>
    <row r="15" customFormat="false" ht="42" hidden="false" customHeight="true" outlineLevel="0" collapsed="false">
      <c r="A15" s="33" t="s">
        <v>557</v>
      </c>
      <c r="B15" s="49" t="s">
        <v>558</v>
      </c>
      <c r="C15" s="48" t="s">
        <v>559</v>
      </c>
      <c r="D15" s="48" t="s">
        <v>560</v>
      </c>
      <c r="E15" s="29" t="s">
        <v>494</v>
      </c>
      <c r="F15" s="29" t="s">
        <v>494</v>
      </c>
      <c r="G15" s="48" t="s">
        <v>561</v>
      </c>
      <c r="H15" s="48" t="s">
        <v>562</v>
      </c>
      <c r="I15" s="25" t="s">
        <v>49</v>
      </c>
      <c r="J15" s="29" t="s">
        <v>525</v>
      </c>
      <c r="K15" s="54" t="str">
        <f aca="false">IF(OR($E15="",$F15="",$E15="TBC",$F15="TBC"),"TBC",IF(AND($E15="High",$F15="High"),"CRITICAL",IF(OR(AND($E15="High",$F15="Medium"),AND($E15="Medium",$F15="High")),"HIGH",IF(AND($E15="Low",$F15="Low"),"LOW","MEDIUM"))))</f>
        <v>MEDIUM</v>
      </c>
      <c r="L15" s="92" t="s">
        <v>536</v>
      </c>
    </row>
    <row r="16" customFormat="false" ht="42" hidden="false" customHeight="true" outlineLevel="0" collapsed="false">
      <c r="A16" s="32" t="s">
        <v>563</v>
      </c>
      <c r="B16" s="43" t="s">
        <v>564</v>
      </c>
      <c r="C16" s="8" t="s">
        <v>565</v>
      </c>
      <c r="D16" s="8" t="s">
        <v>566</v>
      </c>
      <c r="E16" s="26" t="s">
        <v>494</v>
      </c>
      <c r="F16" s="26" t="s">
        <v>494</v>
      </c>
      <c r="G16" s="8" t="s">
        <v>567</v>
      </c>
      <c r="H16" s="8" t="s">
        <v>107</v>
      </c>
      <c r="I16" s="25" t="s">
        <v>49</v>
      </c>
      <c r="J16" s="26" t="s">
        <v>525</v>
      </c>
      <c r="K16" s="45" t="str">
        <f aca="false">IF(OR($E16="",$F16="",$E16="TBC",$F16="TBC"),"TBC",IF(AND($E16="High",$F16="High"),"CRITICAL",IF(OR(AND($E16="High",$F16="Medium"),AND($E16="Medium",$F16="High")),"HIGH",IF(AND($E16="Low",$F16="Low"),"LOW","MEDIUM"))))</f>
        <v>MEDIUM</v>
      </c>
      <c r="L16" s="91" t="s">
        <v>536</v>
      </c>
    </row>
    <row r="17" customFormat="false" ht="42" hidden="false" customHeight="true" outlineLevel="0" collapsed="false">
      <c r="A17" s="33" t="s">
        <v>568</v>
      </c>
      <c r="B17" s="49" t="s">
        <v>569</v>
      </c>
      <c r="C17" s="48" t="s">
        <v>570</v>
      </c>
      <c r="D17" s="48" t="s">
        <v>571</v>
      </c>
      <c r="E17" s="29" t="s">
        <v>494</v>
      </c>
      <c r="F17" s="29" t="s">
        <v>494</v>
      </c>
      <c r="G17" s="48" t="s">
        <v>572</v>
      </c>
      <c r="H17" s="48" t="s">
        <v>486</v>
      </c>
      <c r="I17" s="25" t="s">
        <v>49</v>
      </c>
      <c r="J17" s="29" t="s">
        <v>525</v>
      </c>
      <c r="K17" s="54" t="str">
        <f aca="false">IF(OR($E17="",$F17="",$E17="TBC",$F17="TBC"),"TBC",IF(AND($E17="High",$F17="High"),"CRITICAL",IF(OR(AND($E17="High",$F17="Medium"),AND($E17="Medium",$F17="High")),"HIGH",IF(AND($E17="Low",$F17="Low"),"LOW","MEDIUM"))))</f>
        <v>MEDIUM</v>
      </c>
      <c r="L17" s="92" t="s">
        <v>536</v>
      </c>
    </row>
    <row r="19" customFormat="false" ht="19.5" hidden="false" customHeight="true" outlineLevel="0" collapsed="false">
      <c r="A19" s="40" t="s">
        <v>573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</row>
  </sheetData>
  <mergeCells count="5">
    <mergeCell ref="A1:L1"/>
    <mergeCell ref="A2:L2"/>
    <mergeCell ref="A3:L3"/>
    <mergeCell ref="A5:L5"/>
    <mergeCell ref="A19:L19"/>
  </mergeCells>
  <conditionalFormatting sqref="K8:K17">
    <cfRule type="cellIs" priority="2" operator="equal" aboveAverage="0" equalAverage="0" bottom="0" percent="0" rank="0" text="" dxfId="1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E8:E17">
    <cfRule type="cellIs" priority="6" operator="equal" aboveAverage="0" equalAverage="0" bottom="0" percent="0" rank="0" text="" dxfId="1">
      <formula>"High"</formula>
    </cfRule>
    <cfRule type="cellIs" priority="7" operator="equal" aboveAverage="0" equalAverage="0" bottom="0" percent="0" rank="0" text="" dxfId="2">
      <formula>"Medium"</formula>
    </cfRule>
    <cfRule type="cellIs" priority="8" operator="equal" aboveAverage="0" equalAverage="0" bottom="0" percent="0" rank="0" text="" dxfId="0">
      <formula>"Low"</formula>
    </cfRule>
  </conditionalFormatting>
  <conditionalFormatting sqref="F8:F17">
    <cfRule type="cellIs" priority="9" operator="equal" aboveAverage="0" equalAverage="0" bottom="0" percent="0" rank="0" text="" dxfId="1">
      <formula>"High"</formula>
    </cfRule>
    <cfRule type="cellIs" priority="10" operator="equal" aboveAverage="0" equalAverage="0" bottom="0" percent="0" rank="0" text="" dxfId="2">
      <formula>"Medium"</formula>
    </cfRule>
    <cfRule type="cellIs" priority="11" operator="equal" aboveAverage="0" equalAverage="0" bottom="0" percent="0" rank="0" text="" dxfId="0">
      <formula>"Low"</formula>
    </cfRule>
  </conditionalFormatting>
  <dataValidations count="2">
    <dataValidation allowBlank="true" error="Please choose a value from the drop-down list." errorStyle="warning" errorTitle="Value not in list" operator="between" prompt="High, Medium or Low." promptTitle="Probability / Severity" showDropDown="false" showErrorMessage="true" showInputMessage="true" sqref="E8:F17" type="list">
      <formula1>"High,Medium,Low,TBC"</formula1>
      <formula2>0</formula2>
    </dataValidation>
    <dataValidation allowBlank="true" error="Please choose a value from the drop-down list." errorStyle="warning" errorTitle="Value not in list" operator="between" prompt="Select the current risk status." promptTitle="Risk Status" showDropDown="false" showErrorMessage="true" showInputMessage="true" sqref="J8:J17" type="list">
      <formula1>"Open,Monitoring,Mitigating,Closed"</formula1>
      <formula2>0</formula2>
    </dataValidation>
  </dataValidations>
  <printOptions headings="false" gridLines="false" gridLinesSet="true" horizontalCentered="true" verticalCentered="false"/>
  <pageMargins left="0.35" right="0.35" top="0.5" bottom="0.6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&amp;K6b7280Confidential — Project Planning Document&amp;C&amp;8 &amp;K6b7280Prepared based on the RC Vehicle Survey Report dated 30-Jun-2026  |  Version 0.1 — Preliminary Planning Baseline&amp;R&amp;8 &amp;K6b7280Page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008C"/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6" hidden="false" customHeight="true" outlineLevel="0" collapsed="false"/>
    <row r="6" customFormat="false" ht="21.75" hidden="false" customHeight="true" outlineLevel="0" collapsed="false">
      <c r="A6" s="5" t="s">
        <v>574</v>
      </c>
      <c r="B6" s="5"/>
      <c r="C6" s="5"/>
      <c r="D6" s="5"/>
      <c r="E6" s="5"/>
      <c r="F6" s="5"/>
    </row>
    <row r="7" customFormat="false" ht="21.75" hidden="false" customHeight="true" outlineLevel="0" collapsed="false">
      <c r="A7" s="6" t="s">
        <v>575</v>
      </c>
      <c r="B7" s="7" t="s">
        <v>576</v>
      </c>
      <c r="C7" s="7"/>
      <c r="D7" s="7"/>
      <c r="E7" s="7"/>
      <c r="F7" s="7"/>
    </row>
    <row r="8" customFormat="false" ht="21.75" hidden="false" customHeight="true" outlineLevel="0" collapsed="false">
      <c r="A8" s="6" t="s">
        <v>5</v>
      </c>
      <c r="B8" s="7" t="s">
        <v>577</v>
      </c>
      <c r="C8" s="7"/>
      <c r="D8" s="7"/>
      <c r="E8" s="7"/>
      <c r="F8" s="7"/>
    </row>
    <row r="9" customFormat="false" ht="21.75" hidden="false" customHeight="true" outlineLevel="0" collapsed="false">
      <c r="A9" s="6" t="s">
        <v>578</v>
      </c>
      <c r="B9" s="7" t="s">
        <v>8</v>
      </c>
      <c r="C9" s="7"/>
      <c r="D9" s="7"/>
      <c r="E9" s="7"/>
      <c r="F9" s="7"/>
    </row>
    <row r="10" customFormat="false" ht="21.75" hidden="false" customHeight="true" outlineLevel="0" collapsed="false">
      <c r="A10" s="6" t="s">
        <v>13</v>
      </c>
      <c r="B10" s="7" t="s">
        <v>14</v>
      </c>
      <c r="C10" s="7"/>
      <c r="D10" s="7"/>
      <c r="E10" s="7"/>
      <c r="F10" s="7"/>
    </row>
    <row r="11" customFormat="false" ht="21.75" hidden="false" customHeight="true" outlineLevel="0" collapsed="false">
      <c r="A11" s="6" t="s">
        <v>9</v>
      </c>
      <c r="B11" s="7" t="s">
        <v>10</v>
      </c>
      <c r="C11" s="7"/>
      <c r="D11" s="7"/>
      <c r="E11" s="7"/>
      <c r="F11" s="7"/>
    </row>
    <row r="12" customFormat="false" ht="21.75" hidden="false" customHeight="true" outlineLevel="0" collapsed="false">
      <c r="A12" s="6" t="s">
        <v>11</v>
      </c>
      <c r="B12" s="7" t="s">
        <v>12</v>
      </c>
      <c r="C12" s="7"/>
      <c r="D12" s="7"/>
      <c r="E12" s="7"/>
      <c r="F12" s="7"/>
    </row>
    <row r="13" customFormat="false" ht="21.75" hidden="false" customHeight="true" outlineLevel="0" collapsed="false">
      <c r="A13" s="6" t="s">
        <v>579</v>
      </c>
      <c r="B13" s="7" t="s">
        <v>580</v>
      </c>
      <c r="C13" s="7"/>
      <c r="D13" s="7"/>
      <c r="E13" s="7"/>
      <c r="F13" s="7"/>
    </row>
    <row r="14" customFormat="false" ht="21.75" hidden="false" customHeight="true" outlineLevel="0" collapsed="false">
      <c r="A14" s="6" t="s">
        <v>45</v>
      </c>
      <c r="B14" s="7" t="s">
        <v>581</v>
      </c>
      <c r="C14" s="7"/>
      <c r="D14" s="7"/>
      <c r="E14" s="7"/>
      <c r="F14" s="7"/>
    </row>
    <row r="15" customFormat="false" ht="21.75" hidden="false" customHeight="true" outlineLevel="0" collapsed="false">
      <c r="A15" s="6" t="s">
        <v>582</v>
      </c>
      <c r="B15" s="86" t="s">
        <v>50</v>
      </c>
      <c r="C15" s="86"/>
      <c r="D15" s="86"/>
      <c r="E15" s="86"/>
      <c r="F15" s="86"/>
    </row>
    <row r="16" customFormat="false" ht="21.75" hidden="false" customHeight="true" outlineLevel="0" collapsed="false">
      <c r="A16" s="6" t="s">
        <v>583</v>
      </c>
      <c r="B16" s="86" t="s">
        <v>50</v>
      </c>
      <c r="C16" s="86"/>
      <c r="D16" s="86"/>
      <c r="E16" s="86"/>
      <c r="F16" s="86"/>
    </row>
    <row r="17" customFormat="false" ht="21.75" hidden="false" customHeight="true" outlineLevel="0" collapsed="false">
      <c r="A17" s="6" t="s">
        <v>584</v>
      </c>
      <c r="B17" s="86" t="s">
        <v>50</v>
      </c>
      <c r="C17" s="86"/>
      <c r="D17" s="86"/>
      <c r="E17" s="86"/>
      <c r="F17" s="86"/>
    </row>
    <row r="18" customFormat="false" ht="21.75" hidden="false" customHeight="true" outlineLevel="0" collapsed="false">
      <c r="A18" s="6" t="s">
        <v>585</v>
      </c>
      <c r="B18" s="86" t="s">
        <v>50</v>
      </c>
      <c r="C18" s="86"/>
      <c r="D18" s="86"/>
      <c r="E18" s="86"/>
      <c r="F18" s="86"/>
    </row>
    <row r="20" customFormat="false" ht="21.75" hidden="false" customHeight="true" outlineLevel="0" collapsed="false">
      <c r="A20" s="5" t="s">
        <v>586</v>
      </c>
      <c r="B20" s="5"/>
      <c r="C20" s="5"/>
      <c r="D20" s="5"/>
      <c r="E20" s="5"/>
      <c r="F20" s="5"/>
    </row>
    <row r="22" customFormat="false" ht="25.5" hidden="false" customHeight="true" outlineLevel="0" collapsed="false">
      <c r="A22" s="24" t="s">
        <v>579</v>
      </c>
      <c r="B22" s="24" t="s">
        <v>587</v>
      </c>
      <c r="C22" s="24" t="s">
        <v>588</v>
      </c>
      <c r="D22" s="24" t="s">
        <v>582</v>
      </c>
      <c r="E22" s="24" t="s">
        <v>583</v>
      </c>
      <c r="F22" s="24" t="s">
        <v>584</v>
      </c>
    </row>
    <row r="23" customFormat="false" ht="33.75" hidden="false" customHeight="true" outlineLevel="0" collapsed="false">
      <c r="A23" s="32" t="s">
        <v>580</v>
      </c>
      <c r="B23" s="8" t="s">
        <v>589</v>
      </c>
      <c r="C23" s="25" t="s">
        <v>50</v>
      </c>
      <c r="D23" s="25" t="s">
        <v>50</v>
      </c>
      <c r="E23" s="25" t="s">
        <v>50</v>
      </c>
      <c r="F23" s="25" t="s">
        <v>50</v>
      </c>
    </row>
    <row r="24" customFormat="false" ht="19.5" hidden="false" customHeight="true" outlineLevel="0" collapsed="false">
      <c r="A24" s="25"/>
      <c r="B24" s="25"/>
      <c r="C24" s="25"/>
      <c r="D24" s="25"/>
      <c r="E24" s="25"/>
      <c r="F24" s="25"/>
    </row>
    <row r="25" customFormat="false" ht="19.5" hidden="false" customHeight="true" outlineLevel="0" collapsed="false">
      <c r="A25" s="25"/>
      <c r="B25" s="25"/>
      <c r="C25" s="25"/>
      <c r="D25" s="25"/>
      <c r="E25" s="25"/>
      <c r="F25" s="25"/>
    </row>
    <row r="26" customFormat="false" ht="19.5" hidden="false" customHeight="true" outlineLevel="0" collapsed="false">
      <c r="A26" s="25"/>
      <c r="B26" s="25"/>
      <c r="C26" s="25"/>
      <c r="D26" s="25"/>
      <c r="E26" s="25"/>
      <c r="F26" s="25"/>
    </row>
    <row r="27" customFormat="false" ht="19.5" hidden="false" customHeight="true" outlineLevel="0" collapsed="false">
      <c r="A27" s="25"/>
      <c r="B27" s="25"/>
      <c r="C27" s="25"/>
      <c r="D27" s="25"/>
      <c r="E27" s="25"/>
      <c r="F27" s="25"/>
    </row>
    <row r="29" customFormat="false" ht="21.75" hidden="false" customHeight="true" outlineLevel="0" collapsed="false">
      <c r="A29" s="5" t="s">
        <v>590</v>
      </c>
      <c r="B29" s="5"/>
      <c r="C29" s="5"/>
      <c r="D29" s="5"/>
      <c r="E29" s="5"/>
      <c r="F29" s="5"/>
    </row>
    <row r="31" customFormat="false" ht="25.5" hidden="false" customHeight="true" outlineLevel="0" collapsed="false">
      <c r="A31" s="24" t="s">
        <v>591</v>
      </c>
      <c r="B31" s="24" t="s">
        <v>592</v>
      </c>
      <c r="C31" s="24" t="s">
        <v>395</v>
      </c>
      <c r="D31" s="24" t="s">
        <v>593</v>
      </c>
      <c r="E31" s="24" t="s">
        <v>594</v>
      </c>
      <c r="F31" s="24" t="s">
        <v>595</v>
      </c>
    </row>
    <row r="32" customFormat="false" ht="30" hidden="false" customHeight="true" outlineLevel="0" collapsed="false">
      <c r="A32" s="43" t="s">
        <v>5</v>
      </c>
      <c r="B32" s="8" t="s">
        <v>6</v>
      </c>
      <c r="C32" s="93" t="s">
        <v>596</v>
      </c>
      <c r="D32" s="8" t="s">
        <v>14</v>
      </c>
      <c r="E32" s="8" t="s">
        <v>597</v>
      </c>
      <c r="F32" s="47" t="s">
        <v>598</v>
      </c>
    </row>
    <row r="33" customFormat="false" ht="30" hidden="false" customHeight="true" outlineLevel="0" collapsed="false">
      <c r="A33" s="49" t="s">
        <v>7</v>
      </c>
      <c r="B33" s="48" t="s">
        <v>8</v>
      </c>
      <c r="C33" s="94" t="s">
        <v>596</v>
      </c>
      <c r="D33" s="48" t="s">
        <v>14</v>
      </c>
      <c r="E33" s="48" t="s">
        <v>597</v>
      </c>
      <c r="F33" s="55" t="s">
        <v>598</v>
      </c>
    </row>
    <row r="34" customFormat="false" ht="30" hidden="false" customHeight="true" outlineLevel="0" collapsed="false">
      <c r="A34" s="43" t="s">
        <v>9</v>
      </c>
      <c r="B34" s="8" t="s">
        <v>10</v>
      </c>
      <c r="C34" s="93" t="s">
        <v>596</v>
      </c>
      <c r="D34" s="8" t="s">
        <v>14</v>
      </c>
      <c r="E34" s="8" t="s">
        <v>597</v>
      </c>
      <c r="F34" s="47" t="s">
        <v>598</v>
      </c>
    </row>
    <row r="35" customFormat="false" ht="30" hidden="false" customHeight="true" outlineLevel="0" collapsed="false">
      <c r="A35" s="49" t="s">
        <v>11</v>
      </c>
      <c r="B35" s="48" t="s">
        <v>12</v>
      </c>
      <c r="C35" s="94" t="s">
        <v>596</v>
      </c>
      <c r="D35" s="48" t="s">
        <v>14</v>
      </c>
      <c r="E35" s="48" t="s">
        <v>597</v>
      </c>
      <c r="F35" s="55" t="s">
        <v>599</v>
      </c>
    </row>
    <row r="36" customFormat="false" ht="30" hidden="false" customHeight="true" outlineLevel="0" collapsed="false">
      <c r="A36" s="43" t="s">
        <v>600</v>
      </c>
      <c r="B36" s="8" t="s">
        <v>37</v>
      </c>
      <c r="C36" s="93" t="s">
        <v>596</v>
      </c>
      <c r="D36" s="8" t="s">
        <v>14</v>
      </c>
      <c r="E36" s="8" t="s">
        <v>601</v>
      </c>
      <c r="F36" s="47" t="s">
        <v>602</v>
      </c>
    </row>
    <row r="37" customFormat="false" ht="30" hidden="false" customHeight="true" outlineLevel="0" collapsed="false">
      <c r="A37" s="49" t="s">
        <v>600</v>
      </c>
      <c r="B37" s="48" t="s">
        <v>38</v>
      </c>
      <c r="C37" s="94" t="s">
        <v>596</v>
      </c>
      <c r="D37" s="48" t="s">
        <v>14</v>
      </c>
      <c r="E37" s="48" t="s">
        <v>603</v>
      </c>
      <c r="F37" s="55" t="s">
        <v>604</v>
      </c>
    </row>
    <row r="38" customFormat="false" ht="30" hidden="false" customHeight="true" outlineLevel="0" collapsed="false">
      <c r="A38" s="43" t="s">
        <v>605</v>
      </c>
      <c r="B38" s="8" t="s">
        <v>606</v>
      </c>
      <c r="C38" s="93" t="s">
        <v>596</v>
      </c>
      <c r="D38" s="8" t="s">
        <v>14</v>
      </c>
      <c r="E38" s="8" t="s">
        <v>607</v>
      </c>
      <c r="F38" s="47" t="s">
        <v>608</v>
      </c>
    </row>
    <row r="39" customFormat="false" ht="30" hidden="false" customHeight="true" outlineLevel="0" collapsed="false">
      <c r="A39" s="49" t="s">
        <v>605</v>
      </c>
      <c r="B39" s="48" t="s">
        <v>609</v>
      </c>
      <c r="C39" s="94" t="s">
        <v>596</v>
      </c>
      <c r="D39" s="48" t="s">
        <v>14</v>
      </c>
      <c r="E39" s="48" t="s">
        <v>607</v>
      </c>
      <c r="F39" s="55" t="s">
        <v>608</v>
      </c>
    </row>
    <row r="40" customFormat="false" ht="30" hidden="false" customHeight="true" outlineLevel="0" collapsed="false">
      <c r="A40" s="43" t="s">
        <v>610</v>
      </c>
      <c r="B40" s="8" t="s">
        <v>611</v>
      </c>
      <c r="C40" s="95" t="s">
        <v>612</v>
      </c>
      <c r="D40" s="8" t="s">
        <v>613</v>
      </c>
      <c r="E40" s="8" t="s">
        <v>597</v>
      </c>
      <c r="F40" s="47" t="s">
        <v>614</v>
      </c>
    </row>
    <row r="41" customFormat="false" ht="30" hidden="false" customHeight="true" outlineLevel="0" collapsed="false">
      <c r="A41" s="49" t="s">
        <v>615</v>
      </c>
      <c r="B41" s="48" t="s">
        <v>611</v>
      </c>
      <c r="C41" s="96" t="s">
        <v>612</v>
      </c>
      <c r="D41" s="48" t="s">
        <v>613</v>
      </c>
      <c r="E41" s="48" t="s">
        <v>616</v>
      </c>
      <c r="F41" s="55" t="s">
        <v>617</v>
      </c>
    </row>
    <row r="42" customFormat="false" ht="30" hidden="false" customHeight="true" outlineLevel="0" collapsed="false">
      <c r="A42" s="43" t="s">
        <v>618</v>
      </c>
      <c r="B42" s="8" t="s">
        <v>611</v>
      </c>
      <c r="C42" s="95" t="s">
        <v>50</v>
      </c>
      <c r="D42" s="8" t="s">
        <v>613</v>
      </c>
      <c r="E42" s="8" t="s">
        <v>619</v>
      </c>
      <c r="F42" s="47" t="s">
        <v>620</v>
      </c>
    </row>
    <row r="43" customFormat="false" ht="30" hidden="false" customHeight="true" outlineLevel="0" collapsed="false">
      <c r="A43" s="49" t="s">
        <v>621</v>
      </c>
      <c r="B43" s="48" t="s">
        <v>611</v>
      </c>
      <c r="C43" s="96" t="s">
        <v>50</v>
      </c>
      <c r="D43" s="48" t="s">
        <v>613</v>
      </c>
      <c r="E43" s="48" t="s">
        <v>622</v>
      </c>
      <c r="F43" s="55" t="s">
        <v>623</v>
      </c>
    </row>
    <row r="45" customFormat="false" ht="24" hidden="false" customHeight="true" outlineLevel="0" collapsed="false">
      <c r="A45" s="4" t="s">
        <v>624</v>
      </c>
      <c r="B45" s="4"/>
      <c r="C45" s="4"/>
      <c r="D45" s="4"/>
      <c r="E45" s="4"/>
      <c r="F45" s="4"/>
    </row>
  </sheetData>
  <mergeCells count="19">
    <mergeCell ref="A1:F1"/>
    <mergeCell ref="A2:F2"/>
    <mergeCell ref="A3:F3"/>
    <mergeCell ref="A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A20:F20"/>
    <mergeCell ref="A29:F29"/>
    <mergeCell ref="A45:F45"/>
  </mergeCells>
  <printOptions headings="false" gridLines="false" gridLinesSet="true" horizontalCentered="true" verticalCentered="false"/>
  <pageMargins left="0.35" right="0.35" top="0.5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&amp;K6b7280Confidential — Project Planning Document&amp;C&amp;8 &amp;K6b7280Prepared based on the RC Vehicle Survey Report dated 30-Jun-2026  |  Version 0.1 — Preliminary Planning Baseline&amp;R&amp;8 &amp;K6b7280Page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2026-08-09T17:33:51Z</dcterms:created>
  <dc:creator>openpyxl</dc:creator>
  <dc:description/>
  <dc:language>en-US</dc:language>
  <cp:lastModifiedBy/>
  <dcterms:modified xsi:type="dcterms:W3CDTF">2026-08-09T17:33:52Z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